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herevenojessicaziregbe/Downloads/"/>
    </mc:Choice>
  </mc:AlternateContent>
  <xr:revisionPtr revIDLastSave="0" documentId="8_{9E7B4841-024B-5142-BA18-788644032420}" xr6:coauthVersionLast="47" xr6:coauthVersionMax="47" xr10:uidLastSave="{00000000-0000-0000-0000-000000000000}"/>
  <bookViews>
    <workbookView xWindow="140" yWindow="500" windowWidth="13980" windowHeight="15800" activeTab="4" xr2:uid="{126E5A1E-9896-D24B-874A-2CD0967CAE11}"/>
  </bookViews>
  <sheets>
    <sheet name="Cover" sheetId="2" r:id="rId1"/>
    <sheet name="Assumptions" sheetId="6" r:id="rId2"/>
    <sheet name="Revenue Build" sheetId="7" r:id="rId3"/>
    <sheet name="Income Statement" sheetId="1" r:id="rId4"/>
    <sheet name="Balance Sheet" sheetId="3" r:id="rId5"/>
    <sheet name="Cash Flow Statements" sheetId="4" r:id="rId6"/>
    <sheet name="Schedules" sheetId="8" r:id="rId7"/>
    <sheet name="DCF Valuation" sheetId="5" r:id="rId8"/>
    <sheet name="Trading Comps" sheetId="9" r:id="rId9"/>
    <sheet name="Precedent Transactions" sheetId="10" r:id="rId10"/>
    <sheet name="Sensitivity Analysis" sheetId="14" r:id="rId11"/>
    <sheet name="Checks" sheetId="13" r:id="rId12"/>
  </sheets>
  <calcPr calcId="191029" calcMode="autoNoTable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4" l="1"/>
  <c r="C52" i="5"/>
  <c r="C53" i="5"/>
  <c r="C54" i="5"/>
  <c r="C51" i="5"/>
  <c r="C58" i="5"/>
  <c r="J35" i="14"/>
  <c r="J34" i="14"/>
  <c r="J33" i="14"/>
  <c r="J32" i="14"/>
  <c r="J31" i="14"/>
  <c r="J30" i="14"/>
  <c r="J29" i="14"/>
  <c r="I35" i="14"/>
  <c r="I34" i="14"/>
  <c r="I33" i="14"/>
  <c r="I32" i="14"/>
  <c r="I31" i="14"/>
  <c r="I30" i="14"/>
  <c r="I29" i="14"/>
  <c r="H35" i="14"/>
  <c r="H34" i="14"/>
  <c r="H33" i="14"/>
  <c r="H32" i="14"/>
  <c r="H31" i="14"/>
  <c r="H30" i="14"/>
  <c r="H29" i="14"/>
  <c r="G35" i="14"/>
  <c r="G34" i="14"/>
  <c r="G33" i="14"/>
  <c r="G31" i="14"/>
  <c r="G30" i="14"/>
  <c r="G29" i="14"/>
  <c r="F35" i="14"/>
  <c r="F34" i="14"/>
  <c r="F33" i="14"/>
  <c r="F32" i="14"/>
  <c r="F31" i="14"/>
  <c r="F30" i="14"/>
  <c r="F29" i="14"/>
  <c r="E35" i="14"/>
  <c r="E34" i="14"/>
  <c r="E33" i="14"/>
  <c r="E32" i="14"/>
  <c r="E31" i="14"/>
  <c r="E30" i="14"/>
  <c r="E29" i="14"/>
  <c r="D35" i="14"/>
  <c r="D34" i="14"/>
  <c r="D33" i="14"/>
  <c r="D32" i="14"/>
  <c r="D31" i="14"/>
  <c r="D30" i="14"/>
  <c r="D29" i="14"/>
  <c r="C24" i="14"/>
  <c r="C25" i="14"/>
  <c r="H19" i="14"/>
  <c r="I19" i="14"/>
  <c r="J19" i="14"/>
  <c r="H22" i="5"/>
  <c r="H23" i="5"/>
  <c r="H24" i="5"/>
  <c r="H25" i="5"/>
  <c r="H26" i="5"/>
  <c r="H27" i="5"/>
  <c r="H28" i="5"/>
  <c r="H35" i="5"/>
  <c r="C9" i="5"/>
  <c r="C12" i="5"/>
  <c r="C16" i="5"/>
  <c r="C14" i="5"/>
  <c r="C15" i="5"/>
  <c r="C17" i="5"/>
  <c r="C18" i="5"/>
  <c r="H34" i="5"/>
  <c r="H36" i="5"/>
  <c r="I22" i="5"/>
  <c r="I23" i="5"/>
  <c r="I24" i="5"/>
  <c r="I25" i="5"/>
  <c r="I26" i="5"/>
  <c r="I27" i="5"/>
  <c r="I28" i="5"/>
  <c r="I35" i="5"/>
  <c r="I34" i="5"/>
  <c r="I36" i="5"/>
  <c r="J22" i="5"/>
  <c r="J23" i="5"/>
  <c r="J24" i="5"/>
  <c r="J25" i="5"/>
  <c r="J26" i="5"/>
  <c r="J27" i="5"/>
  <c r="J28" i="5"/>
  <c r="J35" i="5"/>
  <c r="J34" i="5"/>
  <c r="J36" i="5"/>
  <c r="K22" i="5"/>
  <c r="K23" i="5"/>
  <c r="K24" i="5"/>
  <c r="K25" i="5"/>
  <c r="K26" i="5"/>
  <c r="K27" i="5"/>
  <c r="K28" i="5"/>
  <c r="K35" i="5"/>
  <c r="K34" i="5"/>
  <c r="K36" i="5"/>
  <c r="L22" i="5"/>
  <c r="L23" i="5"/>
  <c r="L24" i="5"/>
  <c r="L25" i="5"/>
  <c r="L26" i="5"/>
  <c r="L27" i="5"/>
  <c r="L28" i="5"/>
  <c r="L35" i="5"/>
  <c r="L34" i="5"/>
  <c r="L36" i="5"/>
  <c r="M22" i="5"/>
  <c r="M23" i="5"/>
  <c r="M24" i="5"/>
  <c r="M25" i="5"/>
  <c r="M26" i="5"/>
  <c r="M27" i="5"/>
  <c r="M28" i="5"/>
  <c r="M35" i="5"/>
  <c r="M34" i="5"/>
  <c r="M36" i="5"/>
  <c r="N22" i="5"/>
  <c r="N23" i="5"/>
  <c r="N24" i="5"/>
  <c r="N25" i="5"/>
  <c r="N26" i="5"/>
  <c r="N27" i="5"/>
  <c r="N28" i="5"/>
  <c r="N35" i="5"/>
  <c r="N34" i="5"/>
  <c r="N36" i="5"/>
  <c r="O22" i="5"/>
  <c r="O23" i="5"/>
  <c r="O24" i="5"/>
  <c r="O25" i="5"/>
  <c r="O26" i="5"/>
  <c r="O27" i="5"/>
  <c r="O28" i="5"/>
  <c r="O35" i="5"/>
  <c r="O34" i="5"/>
  <c r="O36" i="5"/>
  <c r="J25" i="14"/>
  <c r="J24" i="14"/>
  <c r="J23" i="14"/>
  <c r="C22" i="14"/>
  <c r="J22" i="14"/>
  <c r="C21" i="14"/>
  <c r="J21" i="14"/>
  <c r="C20" i="14"/>
  <c r="J20" i="14"/>
  <c r="I25" i="14"/>
  <c r="I24" i="14"/>
  <c r="I23" i="14"/>
  <c r="I22" i="14"/>
  <c r="I21" i="14"/>
  <c r="I20" i="14"/>
  <c r="H25" i="14"/>
  <c r="H24" i="14"/>
  <c r="H23" i="14"/>
  <c r="H22" i="14"/>
  <c r="H21" i="14"/>
  <c r="H20" i="14"/>
  <c r="G25" i="14"/>
  <c r="G24" i="14"/>
  <c r="G22" i="14"/>
  <c r="G21" i="14"/>
  <c r="G20" i="14"/>
  <c r="G32" i="14"/>
  <c r="F19" i="14"/>
  <c r="F25" i="14"/>
  <c r="F24" i="14"/>
  <c r="F23" i="14"/>
  <c r="F22" i="14"/>
  <c r="F21" i="14"/>
  <c r="F20" i="14"/>
  <c r="E19" i="14"/>
  <c r="E25" i="14"/>
  <c r="E24" i="14"/>
  <c r="E23" i="14"/>
  <c r="E22" i="14"/>
  <c r="E21" i="14"/>
  <c r="E20" i="14"/>
  <c r="D19" i="14"/>
  <c r="D25" i="14"/>
  <c r="D24" i="14"/>
  <c r="D23" i="14"/>
  <c r="D22" i="14"/>
  <c r="D21" i="14"/>
  <c r="D20" i="14"/>
  <c r="G23" i="14"/>
  <c r="F5" i="14"/>
  <c r="C15" i="14"/>
  <c r="C16" i="14"/>
  <c r="H10" i="14"/>
  <c r="I10" i="14"/>
  <c r="J10" i="14"/>
  <c r="C39" i="5"/>
  <c r="J16" i="14"/>
  <c r="J15" i="14"/>
  <c r="J14" i="14"/>
  <c r="C13" i="14"/>
  <c r="J13" i="14"/>
  <c r="C12" i="14"/>
  <c r="J12" i="14"/>
  <c r="C11" i="14"/>
  <c r="J11" i="14"/>
  <c r="I16" i="14"/>
  <c r="I15" i="14"/>
  <c r="I14" i="14"/>
  <c r="I13" i="14"/>
  <c r="I12" i="14"/>
  <c r="F10" i="14"/>
  <c r="I11" i="14"/>
  <c r="H16" i="14"/>
  <c r="H15" i="14"/>
  <c r="H14" i="14"/>
  <c r="H13" i="14"/>
  <c r="H12" i="14"/>
  <c r="H11" i="14"/>
  <c r="E10" i="14"/>
  <c r="E16" i="14"/>
  <c r="E15" i="14"/>
  <c r="E14" i="14"/>
  <c r="F16" i="14"/>
  <c r="F15" i="14"/>
  <c r="F14" i="14"/>
  <c r="F13" i="14"/>
  <c r="F12" i="14"/>
  <c r="F11" i="14"/>
  <c r="G16" i="14"/>
  <c r="G15" i="14"/>
  <c r="G13" i="14"/>
  <c r="G12" i="14"/>
  <c r="G11" i="14"/>
  <c r="E13" i="14"/>
  <c r="E12" i="14"/>
  <c r="E11" i="14"/>
  <c r="D10" i="14"/>
  <c r="D11" i="14"/>
  <c r="D16" i="14"/>
  <c r="D15" i="14"/>
  <c r="D14" i="14"/>
  <c r="F4" i="14"/>
  <c r="G14" i="14"/>
  <c r="D13" i="14"/>
  <c r="D12" i="14"/>
  <c r="C46" i="5"/>
  <c r="C42" i="5"/>
  <c r="C43" i="5"/>
  <c r="C47" i="5"/>
  <c r="C48" i="5"/>
  <c r="C50" i="5"/>
  <c r="C56" i="5"/>
  <c r="C59" i="5"/>
  <c r="C7" i="14"/>
  <c r="C10" i="14"/>
  <c r="C19" i="14"/>
  <c r="D21" i="10"/>
  <c r="D22" i="10"/>
  <c r="C28" i="14"/>
  <c r="I15" i="10"/>
  <c r="I5" i="14"/>
  <c r="I4" i="14"/>
  <c r="F12" i="2"/>
  <c r="O71" i="13"/>
  <c r="N71" i="13"/>
  <c r="M71" i="13"/>
  <c r="L71" i="13"/>
  <c r="K71" i="13"/>
  <c r="J71" i="13"/>
  <c r="I71" i="13"/>
  <c r="H71" i="13"/>
  <c r="G71" i="13"/>
  <c r="F71" i="13"/>
  <c r="E71" i="13"/>
  <c r="O70" i="13"/>
  <c r="N70" i="13"/>
  <c r="M70" i="13"/>
  <c r="L70" i="13"/>
  <c r="K70" i="13"/>
  <c r="J70" i="13"/>
  <c r="I70" i="13"/>
  <c r="H70" i="13"/>
  <c r="G70" i="13"/>
  <c r="F70" i="13"/>
  <c r="E70" i="13"/>
  <c r="D71" i="13"/>
  <c r="D70" i="13"/>
  <c r="E67" i="13"/>
  <c r="F67" i="13"/>
  <c r="G67" i="13"/>
  <c r="H67" i="13"/>
  <c r="I67" i="13"/>
  <c r="J67" i="13"/>
  <c r="K67" i="13"/>
  <c r="L67" i="13"/>
  <c r="M67" i="13"/>
  <c r="N67" i="13"/>
  <c r="O67" i="13"/>
  <c r="E68" i="13"/>
  <c r="F68" i="13"/>
  <c r="G68" i="13"/>
  <c r="H68" i="13"/>
  <c r="I68" i="13"/>
  <c r="J68" i="13"/>
  <c r="K68" i="13"/>
  <c r="L68" i="13"/>
  <c r="M68" i="13"/>
  <c r="N68" i="13"/>
  <c r="O68" i="13"/>
  <c r="E69" i="13"/>
  <c r="F69" i="13"/>
  <c r="G69" i="13"/>
  <c r="H69" i="13"/>
  <c r="I69" i="13"/>
  <c r="J69" i="13"/>
  <c r="K69" i="13"/>
  <c r="L69" i="13"/>
  <c r="M69" i="13"/>
  <c r="N69" i="13"/>
  <c r="O69" i="13"/>
  <c r="E22" i="5"/>
  <c r="E23" i="5"/>
  <c r="E24" i="5"/>
  <c r="E25" i="5"/>
  <c r="E26" i="5"/>
  <c r="E27" i="5"/>
  <c r="E28" i="5"/>
  <c r="E72" i="13"/>
  <c r="F22" i="5"/>
  <c r="F23" i="5"/>
  <c r="F24" i="5"/>
  <c r="F25" i="5"/>
  <c r="F26" i="5"/>
  <c r="F27" i="5"/>
  <c r="F28" i="5"/>
  <c r="F72" i="13"/>
  <c r="G22" i="5"/>
  <c r="G23" i="5"/>
  <c r="G24" i="5"/>
  <c r="G25" i="5"/>
  <c r="G26" i="5"/>
  <c r="G27" i="5"/>
  <c r="G28" i="5"/>
  <c r="G72" i="13"/>
  <c r="H72" i="13"/>
  <c r="I72" i="13"/>
  <c r="J72" i="13"/>
  <c r="K72" i="13"/>
  <c r="L72" i="13"/>
  <c r="M72" i="13"/>
  <c r="N72" i="13"/>
  <c r="O72" i="13"/>
  <c r="E21" i="5"/>
  <c r="E29" i="5"/>
  <c r="E73" i="13"/>
  <c r="F21" i="5"/>
  <c r="F29" i="5"/>
  <c r="F73" i="13"/>
  <c r="G21" i="5"/>
  <c r="G29" i="5"/>
  <c r="G73" i="13"/>
  <c r="H21" i="5"/>
  <c r="H29" i="5"/>
  <c r="H73" i="13"/>
  <c r="I21" i="5"/>
  <c r="I29" i="5"/>
  <c r="I73" i="13"/>
  <c r="J21" i="5"/>
  <c r="J29" i="5"/>
  <c r="J73" i="13"/>
  <c r="K21" i="5"/>
  <c r="K29" i="5"/>
  <c r="K73" i="13"/>
  <c r="L21" i="5"/>
  <c r="L29" i="5"/>
  <c r="L73" i="13"/>
  <c r="M21" i="5"/>
  <c r="M29" i="5"/>
  <c r="M73" i="13"/>
  <c r="N21" i="5"/>
  <c r="N29" i="5"/>
  <c r="N73" i="13"/>
  <c r="O21" i="5"/>
  <c r="O29" i="5"/>
  <c r="O73" i="13"/>
  <c r="D22" i="5"/>
  <c r="D23" i="5"/>
  <c r="D24" i="5"/>
  <c r="D25" i="5"/>
  <c r="D26" i="5"/>
  <c r="D28" i="5"/>
  <c r="D21" i="5"/>
  <c r="D29" i="5"/>
  <c r="D73" i="13"/>
  <c r="D72" i="13"/>
  <c r="D69" i="13"/>
  <c r="D68" i="13"/>
  <c r="D67" i="13"/>
  <c r="F66" i="13"/>
  <c r="G66" i="13"/>
  <c r="H66" i="13"/>
  <c r="I66" i="13"/>
  <c r="J66" i="13"/>
  <c r="K66" i="13"/>
  <c r="L66" i="13"/>
  <c r="M66" i="13"/>
  <c r="N66" i="13"/>
  <c r="O66" i="13"/>
  <c r="E66" i="13"/>
  <c r="C5" i="14"/>
  <c r="C4" i="14"/>
  <c r="G50" i="8"/>
  <c r="G53" i="8"/>
  <c r="H3" i="7"/>
  <c r="H4" i="7"/>
  <c r="H5" i="7"/>
  <c r="H6" i="7"/>
  <c r="H6" i="1"/>
  <c r="H7" i="7"/>
  <c r="H7" i="1"/>
  <c r="H8" i="1"/>
  <c r="H10" i="1"/>
  <c r="H11" i="1"/>
  <c r="H14" i="1"/>
  <c r="H15" i="1"/>
  <c r="H16" i="1"/>
  <c r="H18" i="1"/>
  <c r="H19" i="1"/>
  <c r="H20" i="1"/>
  <c r="H21" i="1"/>
  <c r="H24" i="1"/>
  <c r="H30" i="8"/>
  <c r="I3" i="7"/>
  <c r="I4" i="7"/>
  <c r="I5" i="7"/>
  <c r="I6" i="7"/>
  <c r="I6" i="1"/>
  <c r="I7" i="7"/>
  <c r="I7" i="1"/>
  <c r="I8" i="1"/>
  <c r="I9" i="3"/>
  <c r="I7" i="8"/>
  <c r="I10" i="1"/>
  <c r="I11" i="3"/>
  <c r="I9" i="8"/>
  <c r="I24" i="3"/>
  <c r="I13" i="8"/>
  <c r="I15" i="8"/>
  <c r="H9" i="3"/>
  <c r="H7" i="8"/>
  <c r="H11" i="3"/>
  <c r="H9" i="8"/>
  <c r="H24" i="3"/>
  <c r="H13" i="8"/>
  <c r="H15" i="8"/>
  <c r="H16" i="8"/>
  <c r="I11" i="1"/>
  <c r="I14" i="1"/>
  <c r="I15" i="1"/>
  <c r="I16" i="1"/>
  <c r="I18" i="1"/>
  <c r="I19" i="1"/>
  <c r="I20" i="1"/>
  <c r="I21" i="1"/>
  <c r="I24" i="1"/>
  <c r="I30" i="8"/>
  <c r="J3" i="7"/>
  <c r="J4" i="7"/>
  <c r="J5" i="7"/>
  <c r="J6" i="7"/>
  <c r="J6" i="1"/>
  <c r="J7" i="7"/>
  <c r="J7" i="1"/>
  <c r="J8" i="1"/>
  <c r="J9" i="3"/>
  <c r="J7" i="8"/>
  <c r="J10" i="1"/>
  <c r="J11" i="3"/>
  <c r="J9" i="8"/>
  <c r="J24" i="3"/>
  <c r="J13" i="8"/>
  <c r="J15" i="8"/>
  <c r="I16" i="8"/>
  <c r="J11" i="1"/>
  <c r="J14" i="1"/>
  <c r="I13" i="6"/>
  <c r="J15" i="1"/>
  <c r="J16" i="1"/>
  <c r="J18" i="1"/>
  <c r="J19" i="1"/>
  <c r="J20" i="1"/>
  <c r="J21" i="1"/>
  <c r="J24" i="1"/>
  <c r="J30" i="8"/>
  <c r="K3" i="7"/>
  <c r="K4" i="7"/>
  <c r="K5" i="7"/>
  <c r="K6" i="7"/>
  <c r="K6" i="1"/>
  <c r="K7" i="7"/>
  <c r="K7" i="1"/>
  <c r="K8" i="1"/>
  <c r="K9" i="3"/>
  <c r="K7" i="8"/>
  <c r="K10" i="1"/>
  <c r="K11" i="3"/>
  <c r="K9" i="8"/>
  <c r="K24" i="3"/>
  <c r="K13" i="8"/>
  <c r="K15" i="8"/>
  <c r="J16" i="8"/>
  <c r="K11" i="1"/>
  <c r="K14" i="1"/>
  <c r="J13" i="6"/>
  <c r="K15" i="1"/>
  <c r="K16" i="1"/>
  <c r="K18" i="1"/>
  <c r="K19" i="1"/>
  <c r="K20" i="1"/>
  <c r="K21" i="1"/>
  <c r="K24" i="1"/>
  <c r="K30" i="8"/>
  <c r="L3" i="7"/>
  <c r="L4" i="7"/>
  <c r="L5" i="7"/>
  <c r="L6" i="7"/>
  <c r="L6" i="1"/>
  <c r="L7" i="7"/>
  <c r="L7" i="1"/>
  <c r="L8" i="1"/>
  <c r="L9" i="3"/>
  <c r="L7" i="8"/>
  <c r="L10" i="1"/>
  <c r="L11" i="3"/>
  <c r="L9" i="8"/>
  <c r="L24" i="3"/>
  <c r="L13" i="8"/>
  <c r="L15" i="8"/>
  <c r="K16" i="8"/>
  <c r="L11" i="1"/>
  <c r="L14" i="1"/>
  <c r="K13" i="6"/>
  <c r="L15" i="1"/>
  <c r="L16" i="1"/>
  <c r="L18" i="1"/>
  <c r="L19" i="1"/>
  <c r="L20" i="1"/>
  <c r="L21" i="1"/>
  <c r="L24" i="1"/>
  <c r="L30" i="8"/>
  <c r="M3" i="7"/>
  <c r="M4" i="7"/>
  <c r="M5" i="7"/>
  <c r="M6" i="7"/>
  <c r="M6" i="1"/>
  <c r="M7" i="7"/>
  <c r="M7" i="1"/>
  <c r="M8" i="1"/>
  <c r="M9" i="3"/>
  <c r="M7" i="8"/>
  <c r="M10" i="1"/>
  <c r="M11" i="3"/>
  <c r="M9" i="8"/>
  <c r="M24" i="3"/>
  <c r="M13" i="8"/>
  <c r="M15" i="8"/>
  <c r="L16" i="8"/>
  <c r="M11" i="1"/>
  <c r="M14" i="1"/>
  <c r="L13" i="6"/>
  <c r="M15" i="1"/>
  <c r="M16" i="1"/>
  <c r="M18" i="1"/>
  <c r="M19" i="1"/>
  <c r="M20" i="1"/>
  <c r="M21" i="1"/>
  <c r="M24" i="1"/>
  <c r="M30" i="8"/>
  <c r="N3" i="7"/>
  <c r="N4" i="7"/>
  <c r="N5" i="7"/>
  <c r="N6" i="7"/>
  <c r="N6" i="1"/>
  <c r="N7" i="7"/>
  <c r="N7" i="1"/>
  <c r="N8" i="1"/>
  <c r="N9" i="3"/>
  <c r="N7" i="8"/>
  <c r="N10" i="1"/>
  <c r="N11" i="3"/>
  <c r="N9" i="8"/>
  <c r="N24" i="3"/>
  <c r="N13" i="8"/>
  <c r="N15" i="8"/>
  <c r="M16" i="8"/>
  <c r="N11" i="1"/>
  <c r="N14" i="1"/>
  <c r="M13" i="6"/>
  <c r="N15" i="1"/>
  <c r="N16" i="1"/>
  <c r="N18" i="1"/>
  <c r="N19" i="1"/>
  <c r="N20" i="1"/>
  <c r="N21" i="1"/>
  <c r="N24" i="1"/>
  <c r="N30" i="8"/>
  <c r="O3" i="7"/>
  <c r="O4" i="7"/>
  <c r="O5" i="7"/>
  <c r="O6" i="7"/>
  <c r="O6" i="1"/>
  <c r="O7" i="7"/>
  <c r="O7" i="1"/>
  <c r="O8" i="1"/>
  <c r="O9" i="3"/>
  <c r="O7" i="8"/>
  <c r="O10" i="1"/>
  <c r="O11" i="3"/>
  <c r="O9" i="8"/>
  <c r="O24" i="3"/>
  <c r="O13" i="8"/>
  <c r="O15" i="8"/>
  <c r="N16" i="8"/>
  <c r="O11" i="1"/>
  <c r="O14" i="1"/>
  <c r="N13" i="6"/>
  <c r="O15" i="1"/>
  <c r="O16" i="1"/>
  <c r="O18" i="1"/>
  <c r="O19" i="1"/>
  <c r="O20" i="1"/>
  <c r="O21" i="1"/>
  <c r="O24" i="1"/>
  <c r="O30" i="8"/>
  <c r="O16" i="8"/>
  <c r="G8" i="1"/>
  <c r="H4" i="10"/>
  <c r="H5" i="10"/>
  <c r="H6" i="10"/>
  <c r="H7" i="10"/>
  <c r="H8" i="10"/>
  <c r="H9" i="10"/>
  <c r="H10" i="10"/>
  <c r="H11" i="10"/>
  <c r="H15" i="10"/>
  <c r="G11" i="1"/>
  <c r="G16" i="1"/>
  <c r="G18" i="1"/>
  <c r="G24" i="1"/>
  <c r="G25" i="1"/>
  <c r="I4" i="10"/>
  <c r="I5" i="10"/>
  <c r="I7" i="10"/>
  <c r="I8" i="10"/>
  <c r="I9" i="10"/>
  <c r="I10" i="10"/>
  <c r="I11" i="10"/>
  <c r="C60" i="5"/>
  <c r="G52" i="7"/>
  <c r="G20" i="7"/>
  <c r="G28" i="7"/>
  <c r="G36" i="7"/>
  <c r="G44" i="7"/>
  <c r="G60" i="7"/>
  <c r="G63" i="7"/>
  <c r="C40" i="5"/>
  <c r="J9" i="10"/>
  <c r="J8" i="10"/>
  <c r="J5" i="10"/>
  <c r="J10" i="10"/>
  <c r="J11" i="10"/>
  <c r="J6" i="10"/>
  <c r="H8" i="3"/>
  <c r="I8" i="3"/>
  <c r="J8" i="3"/>
  <c r="K8" i="3"/>
  <c r="L8" i="3"/>
  <c r="M8" i="3"/>
  <c r="N8" i="3"/>
  <c r="O8" i="3"/>
  <c r="E13" i="3"/>
  <c r="E19" i="3"/>
  <c r="E20" i="3"/>
  <c r="E29" i="3"/>
  <c r="E34" i="3"/>
  <c r="E35" i="3"/>
  <c r="E43" i="3"/>
  <c r="F13" i="3"/>
  <c r="F19" i="3"/>
  <c r="F20" i="3"/>
  <c r="F29" i="3"/>
  <c r="F34" i="3"/>
  <c r="F35" i="3"/>
  <c r="F43" i="3"/>
  <c r="G13" i="3"/>
  <c r="G19" i="3"/>
  <c r="G20" i="3"/>
  <c r="G29" i="3"/>
  <c r="G34" i="3"/>
  <c r="G35" i="3"/>
  <c r="G43" i="3"/>
  <c r="E8" i="13"/>
  <c r="F8" i="13"/>
  <c r="G8" i="13"/>
  <c r="D43" i="3"/>
  <c r="D8" i="13"/>
  <c r="E6" i="13"/>
  <c r="F6" i="13"/>
  <c r="G6" i="13"/>
  <c r="E7" i="13"/>
  <c r="F7" i="13"/>
  <c r="G7" i="13"/>
  <c r="D13" i="3"/>
  <c r="D19" i="3"/>
  <c r="D20" i="3"/>
  <c r="D29" i="3"/>
  <c r="D34" i="3"/>
  <c r="D35" i="3"/>
  <c r="I28" i="3"/>
  <c r="J28" i="3"/>
  <c r="K28" i="3"/>
  <c r="L28" i="3"/>
  <c r="M28" i="3"/>
  <c r="N28" i="3"/>
  <c r="H28" i="3"/>
  <c r="H31" i="8"/>
  <c r="H17" i="10"/>
  <c r="I14" i="10"/>
  <c r="I16" i="10"/>
  <c r="H14" i="10"/>
  <c r="H16" i="10"/>
  <c r="I17" i="10"/>
  <c r="H12" i="3"/>
  <c r="I12" i="3"/>
  <c r="H18" i="3"/>
  <c r="I18" i="3"/>
  <c r="I16" i="4"/>
  <c r="J12" i="3"/>
  <c r="J18" i="3"/>
  <c r="J16" i="4"/>
  <c r="K12" i="3"/>
  <c r="K18" i="3"/>
  <c r="K16" i="4"/>
  <c r="L12" i="3"/>
  <c r="L18" i="3"/>
  <c r="L16" i="4"/>
  <c r="M12" i="3"/>
  <c r="M18" i="3"/>
  <c r="M16" i="4"/>
  <c r="N12" i="3"/>
  <c r="N18" i="3"/>
  <c r="N16" i="4"/>
  <c r="O12" i="3"/>
  <c r="O18" i="3"/>
  <c r="O16" i="4"/>
  <c r="H16" i="4"/>
  <c r="H9" i="4"/>
  <c r="D6" i="13"/>
  <c r="D9" i="13"/>
  <c r="D10" i="13"/>
  <c r="C9" i="2"/>
  <c r="E12" i="13"/>
  <c r="F12" i="13"/>
  <c r="G12" i="13"/>
  <c r="H12" i="13"/>
  <c r="I12" i="13"/>
  <c r="J12" i="13"/>
  <c r="K12" i="13"/>
  <c r="L12" i="13"/>
  <c r="M12" i="13"/>
  <c r="N12" i="13"/>
  <c r="O12" i="13"/>
  <c r="D23" i="10"/>
  <c r="J4" i="10"/>
  <c r="E40" i="4"/>
  <c r="E13" i="13"/>
  <c r="D40" i="4"/>
  <c r="D13" i="13"/>
  <c r="E9" i="13"/>
  <c r="E10" i="13"/>
  <c r="F9" i="13"/>
  <c r="F10" i="13"/>
  <c r="G9" i="13"/>
  <c r="G10" i="13"/>
  <c r="G45" i="13"/>
  <c r="D7" i="13"/>
  <c r="F40" i="4"/>
  <c r="F13" i="13"/>
  <c r="G40" i="4"/>
  <c r="G13" i="13"/>
  <c r="G14" i="13"/>
  <c r="G15" i="13"/>
  <c r="E14" i="13"/>
  <c r="E15" i="13"/>
  <c r="F14" i="13"/>
  <c r="F15" i="13"/>
  <c r="D14" i="13"/>
  <c r="D15" i="13"/>
  <c r="E19" i="4"/>
  <c r="E18" i="13"/>
  <c r="E27" i="4"/>
  <c r="E19" i="13"/>
  <c r="E37" i="4"/>
  <c r="E20" i="13"/>
  <c r="E21" i="13"/>
  <c r="E22" i="13"/>
  <c r="G19" i="4"/>
  <c r="G18" i="13"/>
  <c r="G27" i="4"/>
  <c r="G19" i="13"/>
  <c r="G37" i="4"/>
  <c r="G20" i="13"/>
  <c r="G21" i="13"/>
  <c r="G22" i="13"/>
  <c r="F27" i="4"/>
  <c r="F19" i="13"/>
  <c r="F37" i="4"/>
  <c r="F20" i="13"/>
  <c r="F21" i="13"/>
  <c r="D19" i="4"/>
  <c r="D18" i="13"/>
  <c r="D27" i="4"/>
  <c r="D19" i="13"/>
  <c r="D37" i="4"/>
  <c r="D20" i="13"/>
  <c r="D21" i="13"/>
  <c r="D22" i="13"/>
  <c r="E8" i="1"/>
  <c r="E26" i="13"/>
  <c r="E27" i="13"/>
  <c r="E11" i="1"/>
  <c r="E28" i="13"/>
  <c r="E29" i="13"/>
  <c r="F8" i="1"/>
  <c r="F26" i="13"/>
  <c r="F27" i="13"/>
  <c r="F11" i="1"/>
  <c r="F28" i="13"/>
  <c r="F29" i="13"/>
  <c r="G26" i="13"/>
  <c r="G27" i="13"/>
  <c r="G28" i="13"/>
  <c r="G29" i="13"/>
  <c r="D8" i="1"/>
  <c r="D26" i="13"/>
  <c r="D27" i="13"/>
  <c r="D11" i="1"/>
  <c r="D28" i="13"/>
  <c r="D29" i="13"/>
  <c r="E32" i="13"/>
  <c r="E16" i="1"/>
  <c r="E33" i="13"/>
  <c r="E18" i="1"/>
  <c r="E34" i="13"/>
  <c r="E35" i="13"/>
  <c r="F32" i="13"/>
  <c r="F16" i="1"/>
  <c r="F33" i="13"/>
  <c r="F18" i="1"/>
  <c r="F34" i="13"/>
  <c r="F35" i="13"/>
  <c r="G32" i="13"/>
  <c r="G33" i="13"/>
  <c r="G34" i="13"/>
  <c r="G35" i="13"/>
  <c r="D32" i="13"/>
  <c r="D16" i="1"/>
  <c r="D33" i="13"/>
  <c r="D18" i="1"/>
  <c r="D34" i="13"/>
  <c r="D35" i="13"/>
  <c r="E24" i="1"/>
  <c r="E25" i="1"/>
  <c r="E40" i="13"/>
  <c r="F24" i="1"/>
  <c r="F25" i="1"/>
  <c r="F40" i="13"/>
  <c r="G40" i="13"/>
  <c r="E39" i="13"/>
  <c r="F39" i="13"/>
  <c r="G39" i="13"/>
  <c r="E38" i="13"/>
  <c r="F38" i="13"/>
  <c r="F41" i="13"/>
  <c r="G38" i="13"/>
  <c r="E41" i="13"/>
  <c r="D38" i="13"/>
  <c r="D24" i="1"/>
  <c r="D39" i="13"/>
  <c r="D25" i="1"/>
  <c r="D40" i="13"/>
  <c r="D41" i="13"/>
  <c r="E45" i="13"/>
  <c r="E46" i="13"/>
  <c r="E47" i="13"/>
  <c r="F45" i="13"/>
  <c r="F46" i="13"/>
  <c r="G46" i="13"/>
  <c r="D46" i="13"/>
  <c r="D45" i="13"/>
  <c r="D47" i="13"/>
  <c r="E51" i="13"/>
  <c r="F51" i="13"/>
  <c r="G51" i="13"/>
  <c r="D51" i="13"/>
  <c r="D59" i="13"/>
  <c r="D57" i="13"/>
  <c r="E5" i="13"/>
  <c r="F5" i="13"/>
  <c r="G5" i="13"/>
  <c r="H5" i="13"/>
  <c r="I5" i="13"/>
  <c r="J5" i="13"/>
  <c r="K5" i="13"/>
  <c r="L5" i="13"/>
  <c r="M5" i="13"/>
  <c r="N5" i="13"/>
  <c r="O5" i="13"/>
  <c r="B2" i="13"/>
  <c r="B2" i="10"/>
  <c r="N28" i="7"/>
  <c r="O31" i="7"/>
  <c r="M28" i="7"/>
  <c r="N31" i="7"/>
  <c r="L28" i="7"/>
  <c r="M31" i="7"/>
  <c r="K28" i="7"/>
  <c r="L31" i="7"/>
  <c r="J28" i="7"/>
  <c r="K31" i="7"/>
  <c r="I28" i="7"/>
  <c r="J31" i="7"/>
  <c r="H31" i="7"/>
  <c r="N36" i="7"/>
  <c r="O39" i="7"/>
  <c r="M36" i="7"/>
  <c r="N39" i="7"/>
  <c r="L36" i="7"/>
  <c r="M39" i="7"/>
  <c r="K36" i="7"/>
  <c r="L39" i="7"/>
  <c r="J36" i="7"/>
  <c r="K39" i="7"/>
  <c r="I36" i="7"/>
  <c r="J39" i="7"/>
  <c r="H39" i="7"/>
  <c r="K44" i="7"/>
  <c r="L47" i="7"/>
  <c r="J44" i="7"/>
  <c r="K47" i="7"/>
  <c r="I44" i="7"/>
  <c r="J47" i="7"/>
  <c r="H44" i="7"/>
  <c r="I47" i="7"/>
  <c r="H47" i="7"/>
  <c r="N52" i="7"/>
  <c r="O55" i="7"/>
  <c r="M52" i="7"/>
  <c r="N55" i="7"/>
  <c r="L52" i="7"/>
  <c r="M55" i="7"/>
  <c r="K52" i="7"/>
  <c r="L55" i="7"/>
  <c r="J52" i="7"/>
  <c r="K55" i="7"/>
  <c r="I52" i="7"/>
  <c r="J55" i="7"/>
  <c r="H52" i="7"/>
  <c r="I55" i="7"/>
  <c r="O57" i="7"/>
  <c r="N57" i="7"/>
  <c r="M57" i="7"/>
  <c r="L57" i="7"/>
  <c r="H49" i="7"/>
  <c r="O41" i="7"/>
  <c r="N41" i="7"/>
  <c r="M41" i="7"/>
  <c r="L41" i="7"/>
  <c r="H36" i="7"/>
  <c r="I41" i="7"/>
  <c r="H41" i="7"/>
  <c r="O33" i="7"/>
  <c r="N33" i="7"/>
  <c r="M33" i="7"/>
  <c r="N16" i="9"/>
  <c r="N23" i="9"/>
  <c r="N27" i="9"/>
  <c r="N15" i="9"/>
  <c r="N22" i="9"/>
  <c r="N17" i="9"/>
  <c r="N24" i="9"/>
  <c r="M26" i="9"/>
  <c r="N26" i="9"/>
  <c r="O26" i="9"/>
  <c r="P26" i="9"/>
  <c r="L26" i="9"/>
  <c r="M17" i="9"/>
  <c r="O17" i="9"/>
  <c r="P17" i="9"/>
  <c r="L17" i="9"/>
  <c r="L15" i="9"/>
  <c r="M15" i="9"/>
  <c r="O15" i="9"/>
  <c r="P15" i="9"/>
  <c r="L18" i="9"/>
  <c r="M18" i="9"/>
  <c r="N18" i="9"/>
  <c r="O18" i="9"/>
  <c r="P18" i="9"/>
  <c r="L16" i="9"/>
  <c r="M16" i="9"/>
  <c r="O16" i="9"/>
  <c r="P16" i="9"/>
  <c r="L14" i="9"/>
  <c r="M14" i="9"/>
  <c r="N14" i="9"/>
  <c r="O14" i="9"/>
  <c r="P14" i="9"/>
  <c r="N5" i="9"/>
  <c r="I5" i="9"/>
  <c r="H5" i="9"/>
  <c r="G5" i="9"/>
  <c r="B2" i="8"/>
  <c r="B2" i="9"/>
  <c r="I64" i="6"/>
  <c r="J64" i="6"/>
  <c r="K64" i="6"/>
  <c r="L64" i="6"/>
  <c r="M64" i="6"/>
  <c r="N64" i="6"/>
  <c r="O64" i="6"/>
  <c r="I65" i="6"/>
  <c r="J65" i="6"/>
  <c r="K65" i="6"/>
  <c r="L65" i="6"/>
  <c r="M65" i="6"/>
  <c r="N65" i="6"/>
  <c r="O65" i="6"/>
  <c r="I66" i="6"/>
  <c r="J66" i="6"/>
  <c r="K66" i="6"/>
  <c r="L66" i="6"/>
  <c r="M66" i="6"/>
  <c r="N66" i="6"/>
  <c r="O66" i="6"/>
  <c r="I67" i="6"/>
  <c r="J67" i="6"/>
  <c r="K67" i="6"/>
  <c r="L67" i="6"/>
  <c r="M67" i="6"/>
  <c r="N67" i="6"/>
  <c r="O67" i="6"/>
  <c r="H67" i="6"/>
  <c r="H66" i="6"/>
  <c r="H65" i="6"/>
  <c r="H64" i="6"/>
  <c r="H34" i="1"/>
  <c r="H35" i="1"/>
  <c r="G15" i="7"/>
  <c r="G16" i="7"/>
  <c r="G13" i="7"/>
  <c r="G14" i="7"/>
  <c r="G12" i="7"/>
  <c r="E20" i="5"/>
  <c r="F20" i="5"/>
  <c r="G20" i="5"/>
  <c r="H20" i="5"/>
  <c r="I20" i="5"/>
  <c r="J20" i="5"/>
  <c r="K20" i="5"/>
  <c r="L20" i="5"/>
  <c r="M20" i="5"/>
  <c r="N20" i="5"/>
  <c r="O20" i="5"/>
  <c r="E47" i="6"/>
  <c r="E69" i="8"/>
  <c r="E70" i="8"/>
  <c r="F47" i="6"/>
  <c r="F69" i="8"/>
  <c r="F70" i="8"/>
  <c r="G47" i="6"/>
  <c r="H47" i="6"/>
  <c r="D47" i="6"/>
  <c r="D69" i="8"/>
  <c r="D70" i="8"/>
  <c r="I68" i="8"/>
  <c r="J68" i="8"/>
  <c r="K68" i="8"/>
  <c r="L68" i="8"/>
  <c r="M68" i="8"/>
  <c r="N68" i="8"/>
  <c r="O68" i="8"/>
  <c r="H68" i="8"/>
  <c r="H83" i="8"/>
  <c r="I86" i="8"/>
  <c r="J86" i="8"/>
  <c r="K86" i="8"/>
  <c r="L86" i="8"/>
  <c r="M86" i="8"/>
  <c r="N86" i="8"/>
  <c r="O86" i="8"/>
  <c r="E86" i="8"/>
  <c r="F86" i="8"/>
  <c r="G86" i="8"/>
  <c r="D86" i="8"/>
  <c r="H86" i="8"/>
  <c r="E85" i="8"/>
  <c r="F85" i="8"/>
  <c r="G85" i="8"/>
  <c r="H85" i="8"/>
  <c r="I85" i="8"/>
  <c r="J85" i="8"/>
  <c r="K85" i="8"/>
  <c r="L85" i="8"/>
  <c r="M85" i="8"/>
  <c r="N85" i="8"/>
  <c r="O85" i="8"/>
  <c r="E87" i="8"/>
  <c r="F87" i="8"/>
  <c r="G87" i="8"/>
  <c r="E88" i="8"/>
  <c r="F88" i="8"/>
  <c r="G88" i="8"/>
  <c r="D85" i="8"/>
  <c r="D88" i="8"/>
  <c r="D87" i="8"/>
  <c r="E37" i="8"/>
  <c r="E40" i="8"/>
  <c r="F37" i="8"/>
  <c r="F40" i="8"/>
  <c r="G37" i="8"/>
  <c r="G40" i="8"/>
  <c r="E35" i="8"/>
  <c r="F35" i="8"/>
  <c r="G35" i="8"/>
  <c r="D35" i="8"/>
  <c r="D37" i="8"/>
  <c r="D40" i="8"/>
  <c r="I31" i="8"/>
  <c r="E32" i="8"/>
  <c r="E50" i="13"/>
  <c r="E52" i="13"/>
  <c r="F32" i="8"/>
  <c r="F50" i="13"/>
  <c r="F52" i="13"/>
  <c r="G32" i="8"/>
  <c r="G50" i="13"/>
  <c r="G52" i="13"/>
  <c r="D32" i="8"/>
  <c r="D50" i="13"/>
  <c r="D52" i="13"/>
  <c r="E25" i="8"/>
  <c r="E27" i="8"/>
  <c r="D25" i="8"/>
  <c r="D27" i="8"/>
  <c r="G25" i="8"/>
  <c r="G27" i="8"/>
  <c r="F25" i="8"/>
  <c r="F27" i="8"/>
  <c r="J31" i="8"/>
  <c r="I9" i="4"/>
  <c r="F47" i="13"/>
  <c r="G69" i="8"/>
  <c r="G70" i="8"/>
  <c r="G41" i="13"/>
  <c r="G47" i="13"/>
  <c r="H69" i="8"/>
  <c r="H70" i="8"/>
  <c r="I47" i="6"/>
  <c r="H61" i="8"/>
  <c r="G38" i="8"/>
  <c r="D38" i="8"/>
  <c r="F38" i="8"/>
  <c r="E38" i="8"/>
  <c r="K31" i="8"/>
  <c r="J9" i="4"/>
  <c r="J47" i="6"/>
  <c r="I69" i="8"/>
  <c r="I70" i="8"/>
  <c r="I61" i="8"/>
  <c r="G63" i="8"/>
  <c r="F63" i="8"/>
  <c r="F74" i="8"/>
  <c r="F75" i="8"/>
  <c r="E63" i="8"/>
  <c r="E74" i="8"/>
  <c r="E75" i="8"/>
  <c r="D63" i="8"/>
  <c r="D74" i="8"/>
  <c r="D75" i="8"/>
  <c r="E52" i="8"/>
  <c r="D52" i="8"/>
  <c r="E13" i="8"/>
  <c r="F13" i="8"/>
  <c r="G13" i="8"/>
  <c r="E14" i="8"/>
  <c r="F14" i="8"/>
  <c r="G14" i="8"/>
  <c r="H14" i="8"/>
  <c r="I14" i="8"/>
  <c r="J14" i="8"/>
  <c r="K14" i="8"/>
  <c r="L14" i="8"/>
  <c r="M14" i="8"/>
  <c r="N14" i="8"/>
  <c r="O14" i="8"/>
  <c r="D14" i="8"/>
  <c r="D13" i="8"/>
  <c r="E10" i="8"/>
  <c r="F10" i="8"/>
  <c r="G10" i="8"/>
  <c r="H10" i="8"/>
  <c r="I10" i="8"/>
  <c r="J10" i="8"/>
  <c r="K10" i="8"/>
  <c r="L10" i="8"/>
  <c r="M10" i="8"/>
  <c r="N10" i="8"/>
  <c r="O10" i="8"/>
  <c r="E9" i="8"/>
  <c r="F9" i="8"/>
  <c r="G9" i="8"/>
  <c r="D10" i="8"/>
  <c r="D9" i="8"/>
  <c r="E8" i="8"/>
  <c r="F8" i="8"/>
  <c r="G8" i="8"/>
  <c r="H8" i="8"/>
  <c r="I8" i="8"/>
  <c r="J8" i="8"/>
  <c r="K8" i="8"/>
  <c r="L8" i="8"/>
  <c r="M8" i="8"/>
  <c r="N8" i="8"/>
  <c r="O8" i="8"/>
  <c r="D8" i="8"/>
  <c r="E7" i="8"/>
  <c r="F7" i="8"/>
  <c r="G7" i="8"/>
  <c r="D7" i="8"/>
  <c r="E28" i="7"/>
  <c r="F28" i="7"/>
  <c r="E36" i="7"/>
  <c r="F36" i="7"/>
  <c r="E44" i="7"/>
  <c r="F44" i="7"/>
  <c r="E52" i="7"/>
  <c r="F52" i="7"/>
  <c r="D52" i="7"/>
  <c r="D44" i="7"/>
  <c r="D36" i="7"/>
  <c r="D28" i="7"/>
  <c r="E20" i="7"/>
  <c r="E60" i="7"/>
  <c r="F20" i="7"/>
  <c r="F60" i="7"/>
  <c r="F61" i="7"/>
  <c r="D20" i="7"/>
  <c r="L31" i="8"/>
  <c r="K9" i="4"/>
  <c r="D60" i="7"/>
  <c r="E63" i="7"/>
  <c r="E61" i="7"/>
  <c r="D63" i="7"/>
  <c r="F63" i="7"/>
  <c r="K47" i="6"/>
  <c r="J61" i="8"/>
  <c r="J69" i="8"/>
  <c r="J70" i="8"/>
  <c r="H60" i="8"/>
  <c r="G74" i="8"/>
  <c r="G75" i="8"/>
  <c r="G15" i="8"/>
  <c r="F15" i="8"/>
  <c r="D15" i="8"/>
  <c r="E15" i="8"/>
  <c r="H46" i="8"/>
  <c r="H50" i="8"/>
  <c r="H32" i="3"/>
  <c r="H46" i="13"/>
  <c r="F53" i="8"/>
  <c r="H52" i="8"/>
  <c r="I52" i="8"/>
  <c r="J52" i="8"/>
  <c r="K52" i="8"/>
  <c r="L52" i="8"/>
  <c r="M52" i="8"/>
  <c r="N52" i="8"/>
  <c r="E53" i="8"/>
  <c r="D53" i="8"/>
  <c r="E57" i="8"/>
  <c r="F57" i="8"/>
  <c r="G57" i="8"/>
  <c r="H57" i="8"/>
  <c r="I57" i="8"/>
  <c r="J57" i="8"/>
  <c r="K57" i="8"/>
  <c r="L57" i="8"/>
  <c r="M57" i="8"/>
  <c r="N57" i="8"/>
  <c r="O57" i="8"/>
  <c r="E44" i="8"/>
  <c r="F44" i="8"/>
  <c r="G44" i="8"/>
  <c r="H44" i="8"/>
  <c r="I44" i="8"/>
  <c r="J44" i="8"/>
  <c r="K44" i="8"/>
  <c r="L44" i="8"/>
  <c r="M44" i="8"/>
  <c r="N44" i="8"/>
  <c r="O44" i="8"/>
  <c r="E20" i="8"/>
  <c r="F20" i="8"/>
  <c r="G20" i="8"/>
  <c r="H20" i="8"/>
  <c r="I20" i="8"/>
  <c r="J20" i="8"/>
  <c r="K20" i="8"/>
  <c r="L20" i="8"/>
  <c r="M20" i="8"/>
  <c r="N20" i="8"/>
  <c r="O20" i="8"/>
  <c r="E4" i="8"/>
  <c r="F4" i="8"/>
  <c r="G4" i="8"/>
  <c r="H4" i="8"/>
  <c r="I4" i="8"/>
  <c r="J4" i="8"/>
  <c r="K4" i="8"/>
  <c r="L4" i="8"/>
  <c r="M4" i="8"/>
  <c r="N4" i="8"/>
  <c r="O4" i="8"/>
  <c r="D26" i="1"/>
  <c r="F26" i="1"/>
  <c r="G26" i="1"/>
  <c r="E26" i="1"/>
  <c r="H42" i="3"/>
  <c r="I42" i="3"/>
  <c r="J42" i="3"/>
  <c r="K42" i="3"/>
  <c r="L42" i="3"/>
  <c r="M42" i="3"/>
  <c r="N42" i="3"/>
  <c r="O42" i="3"/>
  <c r="I11" i="4"/>
  <c r="J11" i="4"/>
  <c r="K11" i="4"/>
  <c r="L11" i="4"/>
  <c r="M11" i="4"/>
  <c r="N11" i="4"/>
  <c r="O11" i="4"/>
  <c r="H11" i="4"/>
  <c r="I32" i="4"/>
  <c r="J32" i="4"/>
  <c r="K32" i="4"/>
  <c r="L32" i="4"/>
  <c r="M32" i="4"/>
  <c r="N32" i="4"/>
  <c r="O32" i="4"/>
  <c r="H32" i="4"/>
  <c r="H4" i="4"/>
  <c r="M31" i="8"/>
  <c r="L9" i="4"/>
  <c r="I46" i="8"/>
  <c r="I50" i="8"/>
  <c r="I32" i="3"/>
  <c r="H45" i="13"/>
  <c r="H47" i="13"/>
  <c r="E5" i="9"/>
  <c r="L47" i="6"/>
  <c r="K61" i="8"/>
  <c r="K69" i="8"/>
  <c r="K70" i="8"/>
  <c r="D46" i="3"/>
  <c r="E46" i="3"/>
  <c r="F16" i="8"/>
  <c r="E16" i="8"/>
  <c r="O52" i="8"/>
  <c r="H44" i="6"/>
  <c r="H27" i="3"/>
  <c r="I27" i="3"/>
  <c r="J27" i="3"/>
  <c r="K27" i="3"/>
  <c r="L27" i="3"/>
  <c r="M27" i="3"/>
  <c r="N27" i="3"/>
  <c r="O27" i="3"/>
  <c r="H33" i="3"/>
  <c r="H25" i="3"/>
  <c r="H26" i="3"/>
  <c r="I26" i="3"/>
  <c r="J26" i="3"/>
  <c r="K26" i="3"/>
  <c r="L26" i="3"/>
  <c r="M26" i="3"/>
  <c r="N26" i="3"/>
  <c r="O26" i="3"/>
  <c r="H10" i="3"/>
  <c r="H16" i="3"/>
  <c r="N31" i="8"/>
  <c r="M9" i="4"/>
  <c r="I46" i="13"/>
  <c r="J46" i="8"/>
  <c r="J50" i="8"/>
  <c r="J32" i="3"/>
  <c r="I45" i="13"/>
  <c r="M47" i="6"/>
  <c r="L69" i="8"/>
  <c r="L70" i="8"/>
  <c r="L61" i="8"/>
  <c r="I16" i="3"/>
  <c r="J16" i="3"/>
  <c r="K16" i="3"/>
  <c r="L16" i="3"/>
  <c r="M16" i="3"/>
  <c r="N16" i="3"/>
  <c r="O16" i="3"/>
  <c r="H22" i="4"/>
  <c r="I25" i="3"/>
  <c r="H18" i="4"/>
  <c r="H34" i="3"/>
  <c r="I44" i="6"/>
  <c r="H31" i="4"/>
  <c r="I10" i="3"/>
  <c r="H14" i="4"/>
  <c r="I33" i="3"/>
  <c r="J33" i="3"/>
  <c r="K33" i="3"/>
  <c r="L33" i="3"/>
  <c r="M33" i="3"/>
  <c r="N33" i="3"/>
  <c r="O33" i="3"/>
  <c r="I47" i="13"/>
  <c r="O31" i="8"/>
  <c r="N9" i="4"/>
  <c r="J46" i="13"/>
  <c r="L24" i="9"/>
  <c r="M24" i="9"/>
  <c r="L23" i="9"/>
  <c r="L27" i="9"/>
  <c r="L22" i="9"/>
  <c r="M23" i="9"/>
  <c r="M27" i="9"/>
  <c r="M22" i="9"/>
  <c r="K46" i="8"/>
  <c r="K50" i="8"/>
  <c r="K32" i="3"/>
  <c r="K34" i="3"/>
  <c r="J45" i="13"/>
  <c r="F5" i="9"/>
  <c r="N47" i="6"/>
  <c r="M69" i="8"/>
  <c r="M70" i="8"/>
  <c r="M61" i="8"/>
  <c r="H53" i="8"/>
  <c r="J25" i="3"/>
  <c r="I18" i="4"/>
  <c r="I22" i="4"/>
  <c r="J22" i="4"/>
  <c r="J44" i="6"/>
  <c r="I31" i="4"/>
  <c r="J10" i="3"/>
  <c r="I14" i="4"/>
  <c r="I34" i="3"/>
  <c r="J34" i="3"/>
  <c r="O9" i="4"/>
  <c r="J47" i="13"/>
  <c r="K46" i="13"/>
  <c r="L46" i="8"/>
  <c r="L50" i="8"/>
  <c r="L32" i="3"/>
  <c r="L34" i="3"/>
  <c r="K45" i="13"/>
  <c r="L5" i="9"/>
  <c r="O47" i="6"/>
  <c r="N61" i="8"/>
  <c r="N69" i="8"/>
  <c r="N70" i="8"/>
  <c r="I53" i="8"/>
  <c r="K25" i="3"/>
  <c r="J18" i="4"/>
  <c r="K22" i="4"/>
  <c r="K44" i="6"/>
  <c r="J31" i="4"/>
  <c r="K10" i="3"/>
  <c r="J14" i="4"/>
  <c r="D56" i="13"/>
  <c r="K47" i="13"/>
  <c r="L46" i="13"/>
  <c r="M46" i="8"/>
  <c r="M50" i="8"/>
  <c r="M32" i="3"/>
  <c r="M34" i="3"/>
  <c r="L45" i="13"/>
  <c r="C41" i="5"/>
  <c r="O61" i="8"/>
  <c r="O69" i="8"/>
  <c r="O70" i="8"/>
  <c r="J53" i="8"/>
  <c r="L25" i="3"/>
  <c r="K18" i="4"/>
  <c r="L22" i="4"/>
  <c r="L44" i="6"/>
  <c r="K31" i="4"/>
  <c r="L10" i="3"/>
  <c r="K14" i="4"/>
  <c r="H37" i="7"/>
  <c r="I37" i="7"/>
  <c r="J37" i="7"/>
  <c r="K37" i="7"/>
  <c r="L37" i="7"/>
  <c r="M37" i="7"/>
  <c r="N37" i="7"/>
  <c r="O37" i="7"/>
  <c r="H45" i="7"/>
  <c r="I45" i="7"/>
  <c r="J45" i="7"/>
  <c r="K45" i="7"/>
  <c r="L45" i="7"/>
  <c r="M45" i="7"/>
  <c r="N45" i="7"/>
  <c r="O45" i="7"/>
  <c r="H53" i="7"/>
  <c r="I53" i="7"/>
  <c r="J53" i="7"/>
  <c r="K53" i="7"/>
  <c r="L53" i="7"/>
  <c r="M53" i="7"/>
  <c r="N53" i="7"/>
  <c r="O53" i="7"/>
  <c r="H29" i="7"/>
  <c r="I29" i="7"/>
  <c r="J29" i="7"/>
  <c r="K29" i="7"/>
  <c r="L29" i="7"/>
  <c r="M29" i="7"/>
  <c r="N29" i="7"/>
  <c r="O29" i="7"/>
  <c r="E3" i="4"/>
  <c r="F3" i="4"/>
  <c r="G3" i="4"/>
  <c r="H3" i="4"/>
  <c r="I3" i="4"/>
  <c r="J3" i="4"/>
  <c r="K3" i="4"/>
  <c r="L3" i="4"/>
  <c r="M3" i="4"/>
  <c r="N3" i="4"/>
  <c r="O3" i="4"/>
  <c r="F19" i="4"/>
  <c r="F18" i="13"/>
  <c r="F22" i="13"/>
  <c r="O28" i="7"/>
  <c r="O44" i="7"/>
  <c r="D8" i="7"/>
  <c r="E8" i="7"/>
  <c r="F8" i="7"/>
  <c r="G8" i="7"/>
  <c r="B2" i="1"/>
  <c r="E18" i="7"/>
  <c r="F18" i="7"/>
  <c r="G18" i="7"/>
  <c r="H18" i="7"/>
  <c r="I18" i="7"/>
  <c r="J18" i="7"/>
  <c r="K18" i="7"/>
  <c r="L18" i="7"/>
  <c r="M18" i="7"/>
  <c r="N18" i="7"/>
  <c r="O18" i="7"/>
  <c r="E3" i="6"/>
  <c r="F3" i="6"/>
  <c r="G3" i="6"/>
  <c r="H3" i="6"/>
  <c r="I3" i="6"/>
  <c r="J3" i="6"/>
  <c r="K3" i="6"/>
  <c r="L3" i="6"/>
  <c r="M3" i="6"/>
  <c r="N3" i="6"/>
  <c r="O3" i="6"/>
  <c r="B1" i="5"/>
  <c r="B2" i="4"/>
  <c r="C3" i="5"/>
  <c r="E3" i="3"/>
  <c r="F3" i="3"/>
  <c r="G3" i="3"/>
  <c r="H3" i="3"/>
  <c r="I3" i="3"/>
  <c r="J3" i="3"/>
  <c r="K3" i="3"/>
  <c r="L3" i="3"/>
  <c r="M3" i="3"/>
  <c r="N3" i="3"/>
  <c r="O3" i="3"/>
  <c r="B2" i="3"/>
  <c r="B2" i="2"/>
  <c r="E3" i="1"/>
  <c r="F3" i="1"/>
  <c r="G3" i="1"/>
  <c r="H3" i="1"/>
  <c r="I3" i="1"/>
  <c r="J3" i="1"/>
  <c r="K3" i="1"/>
  <c r="L3" i="1"/>
  <c r="M3" i="1"/>
  <c r="N3" i="1"/>
  <c r="O3" i="1"/>
  <c r="L47" i="13"/>
  <c r="M46" i="13"/>
  <c r="N46" i="8"/>
  <c r="N50" i="8"/>
  <c r="N32" i="3"/>
  <c r="N34" i="3"/>
  <c r="M45" i="13"/>
  <c r="H23" i="7"/>
  <c r="G61" i="7"/>
  <c r="H24" i="7"/>
  <c r="H25" i="7"/>
  <c r="H33" i="7"/>
  <c r="H32" i="7"/>
  <c r="O36" i="7"/>
  <c r="H40" i="7"/>
  <c r="H48" i="7"/>
  <c r="H55" i="7"/>
  <c r="H57" i="7"/>
  <c r="H56" i="7"/>
  <c r="G39" i="8"/>
  <c r="H7" i="6"/>
  <c r="F33" i="6"/>
  <c r="F39" i="8"/>
  <c r="E33" i="6"/>
  <c r="E39" i="8"/>
  <c r="D33" i="6"/>
  <c r="D39" i="8"/>
  <c r="K53" i="8"/>
  <c r="M22" i="4"/>
  <c r="G46" i="3"/>
  <c r="L18" i="4"/>
  <c r="M25" i="3"/>
  <c r="M44" i="6"/>
  <c r="L31" i="4"/>
  <c r="M10" i="3"/>
  <c r="L14" i="4"/>
  <c r="G33" i="6"/>
  <c r="D10" i="6"/>
  <c r="F10" i="6"/>
  <c r="H28" i="7"/>
  <c r="M44" i="7"/>
  <c r="N44" i="7"/>
  <c r="E10" i="6"/>
  <c r="L44" i="7"/>
  <c r="I34" i="1"/>
  <c r="J34" i="1"/>
  <c r="K34" i="1"/>
  <c r="L34" i="1"/>
  <c r="M34" i="1"/>
  <c r="N34" i="1"/>
  <c r="O34" i="1"/>
  <c r="F46" i="3"/>
  <c r="M47" i="13"/>
  <c r="N46" i="13"/>
  <c r="O46" i="8"/>
  <c r="O50" i="8"/>
  <c r="O32" i="3"/>
  <c r="O34" i="3"/>
  <c r="N45" i="13"/>
  <c r="N53" i="8"/>
  <c r="M47" i="7"/>
  <c r="M49" i="7"/>
  <c r="M48" i="7"/>
  <c r="J33" i="7"/>
  <c r="J32" i="7"/>
  <c r="I39" i="7"/>
  <c r="I40" i="7"/>
  <c r="L40" i="7"/>
  <c r="L32" i="7"/>
  <c r="L33" i="7"/>
  <c r="N32" i="7"/>
  <c r="L49" i="7"/>
  <c r="L48" i="7"/>
  <c r="I33" i="7"/>
  <c r="I31" i="7"/>
  <c r="I32" i="7"/>
  <c r="J48" i="7"/>
  <c r="J49" i="7"/>
  <c r="O32" i="7"/>
  <c r="M32" i="7"/>
  <c r="M40" i="7"/>
  <c r="K33" i="7"/>
  <c r="K32" i="7"/>
  <c r="I49" i="7"/>
  <c r="I48" i="7"/>
  <c r="O49" i="7"/>
  <c r="O48" i="7"/>
  <c r="O47" i="7"/>
  <c r="N47" i="7"/>
  <c r="N49" i="7"/>
  <c r="N48" i="7"/>
  <c r="K49" i="7"/>
  <c r="K48" i="7"/>
  <c r="J40" i="7"/>
  <c r="J41" i="7"/>
  <c r="I56" i="7"/>
  <c r="I57" i="7"/>
  <c r="J57" i="7"/>
  <c r="J56" i="7"/>
  <c r="M53" i="8"/>
  <c r="L53" i="8"/>
  <c r="N25" i="3"/>
  <c r="M18" i="4"/>
  <c r="O22" i="4"/>
  <c r="N22" i="4"/>
  <c r="N44" i="6"/>
  <c r="M31" i="4"/>
  <c r="N10" i="3"/>
  <c r="M14" i="4"/>
  <c r="E34" i="6"/>
  <c r="E27" i="1"/>
  <c r="I35" i="1"/>
  <c r="J35" i="1"/>
  <c r="J5" i="9"/>
  <c r="E20" i="1"/>
  <c r="E22" i="1"/>
  <c r="O46" i="13"/>
  <c r="N47" i="13"/>
  <c r="O45" i="13"/>
  <c r="O47" i="13"/>
  <c r="O53" i="8"/>
  <c r="F34" i="6"/>
  <c r="F27" i="1"/>
  <c r="K40" i="7"/>
  <c r="K41" i="7"/>
  <c r="F20" i="1"/>
  <c r="F22" i="1"/>
  <c r="F35" i="6"/>
  <c r="O40" i="7"/>
  <c r="N40" i="7"/>
  <c r="E35" i="6"/>
  <c r="E84" i="8"/>
  <c r="O25" i="3"/>
  <c r="N18" i="4"/>
  <c r="O44" i="6"/>
  <c r="O31" i="4"/>
  <c r="N31" i="4"/>
  <c r="O10" i="3"/>
  <c r="O14" i="4"/>
  <c r="N14" i="4"/>
  <c r="D34" i="6"/>
  <c r="D27" i="1"/>
  <c r="G34" i="6"/>
  <c r="K35" i="1"/>
  <c r="D20" i="1"/>
  <c r="D22" i="1"/>
  <c r="G20" i="1"/>
  <c r="G22" i="1"/>
  <c r="K5" i="9"/>
  <c r="G27" i="1"/>
  <c r="M5" i="9"/>
  <c r="F84" i="8"/>
  <c r="K56" i="7"/>
  <c r="K57" i="7"/>
  <c r="G35" i="6"/>
  <c r="G84" i="8"/>
  <c r="D35" i="6"/>
  <c r="D84" i="8"/>
  <c r="O18" i="4"/>
  <c r="L35" i="1"/>
  <c r="L56" i="7"/>
  <c r="M35" i="1"/>
  <c r="M56" i="7"/>
  <c r="N35" i="1"/>
  <c r="N56" i="7"/>
  <c r="O35" i="1"/>
  <c r="O56" i="7"/>
  <c r="O52" i="7"/>
  <c r="H21" i="7"/>
  <c r="H63" i="6"/>
  <c r="H6" i="6"/>
  <c r="H20" i="7"/>
  <c r="H8" i="7"/>
  <c r="H62" i="8"/>
  <c r="H63" i="8"/>
  <c r="I60" i="8"/>
  <c r="H74" i="8"/>
  <c r="H75" i="8"/>
  <c r="H60" i="7"/>
  <c r="I25" i="7"/>
  <c r="I24" i="7"/>
  <c r="I23" i="7"/>
  <c r="H30" i="4"/>
  <c r="H37" i="4"/>
  <c r="H20" i="13"/>
  <c r="H10" i="4"/>
  <c r="H26" i="1"/>
  <c r="H87" i="8"/>
  <c r="H88" i="8"/>
  <c r="H26" i="13"/>
  <c r="H40" i="3"/>
  <c r="H25" i="4"/>
  <c r="H27" i="4"/>
  <c r="H19" i="13"/>
  <c r="H35" i="8"/>
  <c r="H32" i="8"/>
  <c r="H33" i="6"/>
  <c r="H32" i="13"/>
  <c r="H28" i="13"/>
  <c r="H61" i="7"/>
  <c r="O23" i="9"/>
  <c r="O27" i="9"/>
  <c r="O5" i="9"/>
  <c r="O24" i="9"/>
  <c r="O22" i="9"/>
  <c r="H63" i="7"/>
  <c r="H33" i="13"/>
  <c r="H39" i="13"/>
  <c r="H37" i="8"/>
  <c r="H13" i="4"/>
  <c r="H27" i="13"/>
  <c r="H29" i="13"/>
  <c r="H50" i="13"/>
  <c r="H17" i="3"/>
  <c r="I29" i="8"/>
  <c r="H17" i="4"/>
  <c r="H29" i="3"/>
  <c r="H35" i="3"/>
  <c r="H40" i="8"/>
  <c r="H38" i="8"/>
  <c r="H39" i="8"/>
  <c r="H15" i="4"/>
  <c r="G16" i="8"/>
  <c r="H7" i="13"/>
  <c r="H51" i="13"/>
  <c r="H19" i="3"/>
  <c r="H38" i="13"/>
  <c r="H34" i="6"/>
  <c r="H34" i="13"/>
  <c r="H35" i="13"/>
  <c r="H25" i="1"/>
  <c r="H52" i="13"/>
  <c r="H40" i="13"/>
  <c r="H27" i="1"/>
  <c r="H22" i="1"/>
  <c r="H41" i="13"/>
  <c r="H41" i="3"/>
  <c r="H84" i="8"/>
  <c r="H89" i="8"/>
  <c r="I83" i="8"/>
  <c r="H30" i="1"/>
  <c r="H35" i="6"/>
  <c r="H31" i="1"/>
  <c r="H7" i="4"/>
  <c r="H19" i="4"/>
  <c r="H43" i="4"/>
  <c r="H18" i="13"/>
  <c r="H39" i="4"/>
  <c r="P22" i="9"/>
  <c r="P23" i="9"/>
  <c r="P27" i="9"/>
  <c r="P24" i="9"/>
  <c r="P5" i="9"/>
  <c r="H43" i="3"/>
  <c r="H8" i="13"/>
  <c r="H9" i="13"/>
  <c r="H40" i="4"/>
  <c r="H21" i="13"/>
  <c r="H22" i="13"/>
  <c r="H7" i="3"/>
  <c r="H13" i="13"/>
  <c r="I4" i="4"/>
  <c r="H14" i="13"/>
  <c r="H13" i="3"/>
  <c r="H20" i="3"/>
  <c r="H15" i="13"/>
  <c r="H6" i="13"/>
  <c r="H10" i="13"/>
  <c r="H46" i="3"/>
  <c r="I21" i="7"/>
  <c r="I63" i="6"/>
  <c r="I6" i="6"/>
  <c r="I20" i="7"/>
  <c r="I8" i="7"/>
  <c r="I62" i="8"/>
  <c r="I63" i="8"/>
  <c r="I26" i="13"/>
  <c r="I30" i="4"/>
  <c r="I37" i="4"/>
  <c r="I20" i="13"/>
  <c r="I87" i="8"/>
  <c r="I88" i="8"/>
  <c r="I10" i="4"/>
  <c r="I26" i="1"/>
  <c r="J24" i="7"/>
  <c r="I60" i="7"/>
  <c r="J25" i="7"/>
  <c r="J23" i="7"/>
  <c r="I74" i="8"/>
  <c r="I75" i="8"/>
  <c r="J60" i="8"/>
  <c r="I33" i="13"/>
  <c r="I61" i="7"/>
  <c r="I63" i="7"/>
  <c r="I40" i="3"/>
  <c r="I27" i="13"/>
  <c r="I39" i="13"/>
  <c r="I37" i="8"/>
  <c r="I13" i="4"/>
  <c r="I35" i="8"/>
  <c r="I25" i="4"/>
  <c r="I27" i="4"/>
  <c r="I19" i="13"/>
  <c r="I32" i="8"/>
  <c r="I32" i="13"/>
  <c r="I28" i="13"/>
  <c r="I29" i="13"/>
  <c r="I33" i="6"/>
  <c r="I15" i="4"/>
  <c r="I17" i="3"/>
  <c r="I50" i="13"/>
  <c r="J29" i="8"/>
  <c r="I29" i="3"/>
  <c r="I35" i="3"/>
  <c r="I17" i="4"/>
  <c r="I25" i="1"/>
  <c r="I38" i="13"/>
  <c r="I34" i="13"/>
  <c r="I35" i="13"/>
  <c r="I34" i="6"/>
  <c r="I40" i="8"/>
  <c r="I38" i="8"/>
  <c r="I39" i="8"/>
  <c r="I51" i="13"/>
  <c r="I52" i="13"/>
  <c r="I19" i="3"/>
  <c r="I40" i="13"/>
  <c r="I41" i="13"/>
  <c r="I27" i="1"/>
  <c r="I7" i="13"/>
  <c r="I43" i="4"/>
  <c r="I22" i="1"/>
  <c r="I84" i="8"/>
  <c r="I89" i="8"/>
  <c r="J83" i="8"/>
  <c r="I31" i="1"/>
  <c r="I30" i="1"/>
  <c r="I41" i="3"/>
  <c r="I7" i="4"/>
  <c r="I19" i="4"/>
  <c r="I35" i="6"/>
  <c r="I43" i="3"/>
  <c r="I18" i="13"/>
  <c r="I39" i="4"/>
  <c r="I40" i="4"/>
  <c r="I21" i="13"/>
  <c r="I22" i="13"/>
  <c r="I8" i="13"/>
  <c r="I9" i="13"/>
  <c r="I13" i="13"/>
  <c r="I7" i="3"/>
  <c r="J4" i="4"/>
  <c r="I14" i="13"/>
  <c r="I13" i="3"/>
  <c r="I20" i="3"/>
  <c r="I15" i="13"/>
  <c r="I46" i="3"/>
  <c r="I6" i="13"/>
  <c r="I10" i="13"/>
  <c r="J21" i="7"/>
  <c r="J6" i="6"/>
  <c r="J63" i="6"/>
  <c r="J8" i="7"/>
  <c r="J62" i="8"/>
  <c r="J63" i="8"/>
  <c r="J74" i="8"/>
  <c r="J75" i="8"/>
  <c r="J26" i="13"/>
  <c r="J30" i="4"/>
  <c r="J37" i="4"/>
  <c r="J20" i="13"/>
  <c r="J33" i="13"/>
  <c r="J87" i="8"/>
  <c r="J10" i="4"/>
  <c r="J26" i="1"/>
  <c r="J88" i="8"/>
  <c r="J20" i="7"/>
  <c r="K60" i="8"/>
  <c r="J35" i="8"/>
  <c r="J32" i="8"/>
  <c r="J25" i="4"/>
  <c r="J27" i="4"/>
  <c r="J19" i="13"/>
  <c r="J40" i="3"/>
  <c r="J27" i="13"/>
  <c r="J60" i="7"/>
  <c r="K25" i="7"/>
  <c r="K24" i="7"/>
  <c r="K23" i="7"/>
  <c r="J13" i="4"/>
  <c r="J39" i="13"/>
  <c r="J37" i="8"/>
  <c r="J32" i="13"/>
  <c r="J28" i="13"/>
  <c r="J29" i="13"/>
  <c r="J33" i="6"/>
  <c r="J50" i="13"/>
  <c r="J17" i="3"/>
  <c r="K29" i="8"/>
  <c r="J63" i="7"/>
  <c r="J61" i="7"/>
  <c r="J15" i="4"/>
  <c r="J17" i="4"/>
  <c r="J29" i="3"/>
  <c r="J35" i="3"/>
  <c r="J38" i="13"/>
  <c r="J25" i="1"/>
  <c r="J34" i="6"/>
  <c r="J34" i="13"/>
  <c r="J35" i="13"/>
  <c r="J40" i="8"/>
  <c r="J38" i="8"/>
  <c r="J39" i="8"/>
  <c r="J51" i="13"/>
  <c r="J19" i="3"/>
  <c r="J22" i="1"/>
  <c r="J40" i="13"/>
  <c r="J27" i="1"/>
  <c r="J7" i="13"/>
  <c r="J52" i="13"/>
  <c r="J41" i="13"/>
  <c r="J35" i="6"/>
  <c r="J84" i="8"/>
  <c r="J89" i="8"/>
  <c r="K83" i="8"/>
  <c r="J31" i="1"/>
  <c r="J7" i="4"/>
  <c r="J19" i="4"/>
  <c r="J41" i="3"/>
  <c r="J30" i="1"/>
  <c r="J43" i="4"/>
  <c r="J18" i="13"/>
  <c r="J39" i="4"/>
  <c r="J43" i="3"/>
  <c r="J8" i="13"/>
  <c r="J9" i="13"/>
  <c r="J40" i="4"/>
  <c r="J21" i="13"/>
  <c r="J22" i="13"/>
  <c r="J13" i="13"/>
  <c r="K4" i="4"/>
  <c r="J7" i="3"/>
  <c r="J13" i="3"/>
  <c r="J20" i="3"/>
  <c r="J14" i="13"/>
  <c r="J15" i="13"/>
  <c r="J46" i="3"/>
  <c r="J6" i="13"/>
  <c r="J10" i="13"/>
  <c r="K21" i="7"/>
  <c r="K63" i="6"/>
  <c r="K6" i="6"/>
  <c r="K20" i="7"/>
  <c r="K8" i="7"/>
  <c r="K62" i="8"/>
  <c r="K63" i="8"/>
  <c r="K74" i="8"/>
  <c r="K75" i="8"/>
  <c r="L60" i="8"/>
  <c r="K30" i="4"/>
  <c r="K37" i="4"/>
  <c r="K20" i="13"/>
  <c r="K87" i="8"/>
  <c r="K10" i="4"/>
  <c r="K26" i="1"/>
  <c r="K88" i="8"/>
  <c r="K26" i="13"/>
  <c r="L25" i="7"/>
  <c r="K60" i="7"/>
  <c r="L23" i="7"/>
  <c r="L24" i="7"/>
  <c r="K13" i="4"/>
  <c r="K25" i="4"/>
  <c r="K27" i="4"/>
  <c r="K19" i="13"/>
  <c r="K35" i="8"/>
  <c r="K32" i="8"/>
  <c r="K27" i="13"/>
  <c r="K37" i="8"/>
  <c r="K39" i="13"/>
  <c r="K40" i="3"/>
  <c r="K33" i="6"/>
  <c r="K28" i="13"/>
  <c r="K29" i="13"/>
  <c r="K32" i="13"/>
  <c r="K33" i="13"/>
  <c r="K61" i="7"/>
  <c r="K63" i="7"/>
  <c r="K17" i="4"/>
  <c r="K29" i="3"/>
  <c r="K35" i="3"/>
  <c r="K50" i="13"/>
  <c r="L29" i="8"/>
  <c r="K17" i="3"/>
  <c r="K15" i="4"/>
  <c r="K40" i="8"/>
  <c r="K38" i="8"/>
  <c r="K39" i="8"/>
  <c r="K51" i="13"/>
  <c r="K52" i="13"/>
  <c r="K19" i="3"/>
  <c r="K25" i="1"/>
  <c r="K38" i="13"/>
  <c r="K34" i="6"/>
  <c r="K34" i="13"/>
  <c r="K35" i="13"/>
  <c r="K7" i="13"/>
  <c r="K22" i="1"/>
  <c r="K27" i="1"/>
  <c r="K40" i="13"/>
  <c r="K41" i="13"/>
  <c r="K41" i="3"/>
  <c r="K84" i="8"/>
  <c r="K89" i="8"/>
  <c r="L83" i="8"/>
  <c r="K30" i="1"/>
  <c r="K31" i="1"/>
  <c r="K35" i="6"/>
  <c r="K7" i="4"/>
  <c r="K19" i="4"/>
  <c r="K43" i="4"/>
  <c r="K18" i="13"/>
  <c r="K39" i="4"/>
  <c r="K43" i="3"/>
  <c r="K21" i="13"/>
  <c r="K40" i="4"/>
  <c r="K8" i="13"/>
  <c r="K9" i="13"/>
  <c r="K22" i="13"/>
  <c r="K13" i="13"/>
  <c r="L4" i="4"/>
  <c r="K7" i="3"/>
  <c r="K13" i="3"/>
  <c r="K20" i="3"/>
  <c r="K14" i="13"/>
  <c r="K15" i="13"/>
  <c r="K6" i="13"/>
  <c r="K10" i="13"/>
  <c r="K46" i="3"/>
  <c r="L21" i="7"/>
  <c r="L63" i="6"/>
  <c r="L20" i="7"/>
  <c r="L8" i="7"/>
  <c r="L62" i="8"/>
  <c r="L63" i="8"/>
  <c r="L6" i="6"/>
  <c r="L26" i="13"/>
  <c r="L87" i="8"/>
  <c r="L88" i="8"/>
  <c r="L40" i="3"/>
  <c r="L30" i="4"/>
  <c r="L37" i="4"/>
  <c r="L20" i="13"/>
  <c r="L10" i="4"/>
  <c r="L26" i="1"/>
  <c r="L33" i="13"/>
  <c r="M60" i="8"/>
  <c r="L74" i="8"/>
  <c r="L75" i="8"/>
  <c r="M23" i="7"/>
  <c r="L60" i="7"/>
  <c r="M24" i="7"/>
  <c r="M25" i="7"/>
  <c r="L28" i="13"/>
  <c r="L32" i="13"/>
  <c r="L33" i="6"/>
  <c r="L63" i="7"/>
  <c r="L61" i="7"/>
  <c r="L25" i="4"/>
  <c r="L27" i="4"/>
  <c r="L19" i="13"/>
  <c r="L35" i="8"/>
  <c r="L32" i="8"/>
  <c r="L39" i="13"/>
  <c r="L37" i="8"/>
  <c r="L13" i="4"/>
  <c r="L27" i="13"/>
  <c r="L29" i="13"/>
  <c r="L34" i="13"/>
  <c r="L38" i="13"/>
  <c r="L25" i="1"/>
  <c r="L34" i="6"/>
  <c r="L15" i="4"/>
  <c r="L17" i="4"/>
  <c r="L29" i="3"/>
  <c r="L35" i="3"/>
  <c r="L40" i="8"/>
  <c r="L38" i="8"/>
  <c r="L39" i="8"/>
  <c r="M29" i="8"/>
  <c r="L17" i="3"/>
  <c r="L50" i="13"/>
  <c r="L35" i="13"/>
  <c r="L7" i="13"/>
  <c r="L40" i="13"/>
  <c r="L41" i="13"/>
  <c r="L27" i="1"/>
  <c r="L19" i="3"/>
  <c r="L51" i="13"/>
  <c r="L22" i="1"/>
  <c r="L52" i="13"/>
  <c r="L43" i="4"/>
  <c r="L35" i="6"/>
  <c r="L84" i="8"/>
  <c r="L89" i="8"/>
  <c r="M83" i="8"/>
  <c r="L30" i="1"/>
  <c r="L31" i="1"/>
  <c r="L41" i="3"/>
  <c r="L7" i="4"/>
  <c r="L19" i="4"/>
  <c r="L18" i="13"/>
  <c r="L39" i="4"/>
  <c r="L43" i="3"/>
  <c r="L8" i="13"/>
  <c r="L9" i="13"/>
  <c r="L21" i="13"/>
  <c r="L22" i="13"/>
  <c r="L40" i="4"/>
  <c r="L7" i="3"/>
  <c r="L13" i="13"/>
  <c r="M4" i="4"/>
  <c r="L14" i="13"/>
  <c r="L15" i="13"/>
  <c r="L13" i="3"/>
  <c r="L20" i="3"/>
  <c r="L46" i="3"/>
  <c r="L6" i="13"/>
  <c r="L10" i="13"/>
  <c r="M21" i="7"/>
  <c r="M63" i="6"/>
  <c r="M6" i="6"/>
  <c r="M8" i="7"/>
  <c r="M62" i="8"/>
  <c r="M63" i="8"/>
  <c r="M20" i="7"/>
  <c r="M87" i="8"/>
  <c r="M88" i="8"/>
  <c r="M40" i="3"/>
  <c r="M33" i="13"/>
  <c r="M10" i="4"/>
  <c r="M26" i="1"/>
  <c r="M30" i="4"/>
  <c r="M37" i="4"/>
  <c r="M20" i="13"/>
  <c r="M26" i="13"/>
  <c r="M60" i="7"/>
  <c r="N23" i="7"/>
  <c r="N24" i="7"/>
  <c r="N25" i="7"/>
  <c r="M74" i="8"/>
  <c r="M75" i="8"/>
  <c r="N60" i="8"/>
  <c r="M28" i="13"/>
  <c r="M32" i="13"/>
  <c r="M33" i="6"/>
  <c r="M27" i="13"/>
  <c r="M29" i="13"/>
  <c r="M61" i="7"/>
  <c r="M63" i="7"/>
  <c r="M37" i="8"/>
  <c r="M39" i="13"/>
  <c r="M25" i="4"/>
  <c r="M27" i="4"/>
  <c r="M19" i="13"/>
  <c r="M35" i="8"/>
  <c r="M32" i="8"/>
  <c r="M13" i="4"/>
  <c r="M17" i="4"/>
  <c r="M29" i="3"/>
  <c r="M35" i="3"/>
  <c r="N29" i="8"/>
  <c r="M17" i="3"/>
  <c r="M50" i="13"/>
  <c r="M38" i="8"/>
  <c r="M39" i="8"/>
  <c r="M40" i="8"/>
  <c r="M15" i="4"/>
  <c r="M34" i="6"/>
  <c r="M34" i="13"/>
  <c r="M35" i="13"/>
  <c r="M38" i="13"/>
  <c r="M25" i="1"/>
  <c r="M22" i="1"/>
  <c r="M40" i="13"/>
  <c r="M27" i="1"/>
  <c r="M41" i="13"/>
  <c r="M7" i="13"/>
  <c r="M19" i="3"/>
  <c r="M51" i="13"/>
  <c r="M52" i="13"/>
  <c r="M30" i="1"/>
  <c r="M84" i="8"/>
  <c r="M89" i="8"/>
  <c r="N83" i="8"/>
  <c r="M41" i="3"/>
  <c r="M35" i="6"/>
  <c r="M31" i="1"/>
  <c r="M7" i="4"/>
  <c r="M19" i="4"/>
  <c r="M43" i="4"/>
  <c r="M43" i="3"/>
  <c r="M18" i="13"/>
  <c r="M39" i="4"/>
  <c r="M21" i="13"/>
  <c r="M22" i="13"/>
  <c r="M40" i="4"/>
  <c r="M8" i="13"/>
  <c r="M9" i="13"/>
  <c r="M7" i="3"/>
  <c r="M13" i="13"/>
  <c r="N4" i="4"/>
  <c r="M14" i="13"/>
  <c r="M15" i="13"/>
  <c r="M13" i="3"/>
  <c r="M20" i="3"/>
  <c r="M46" i="3"/>
  <c r="M6" i="13"/>
  <c r="M10" i="13"/>
  <c r="N21" i="7"/>
  <c r="N63" i="6"/>
  <c r="N8" i="7"/>
  <c r="N62" i="8"/>
  <c r="N63" i="8"/>
  <c r="O60" i="8"/>
  <c r="N74" i="8"/>
  <c r="N75" i="8"/>
  <c r="N6" i="6"/>
  <c r="N20" i="7"/>
  <c r="O25" i="7"/>
  <c r="O23" i="7"/>
  <c r="N60" i="7"/>
  <c r="O24" i="7"/>
  <c r="N88" i="8"/>
  <c r="N87" i="8"/>
  <c r="N33" i="13"/>
  <c r="N26" i="13"/>
  <c r="N10" i="4"/>
  <c r="N26" i="1"/>
  <c r="N30" i="4"/>
  <c r="N37" i="4"/>
  <c r="N20" i="13"/>
  <c r="N37" i="8"/>
  <c r="N39" i="13"/>
  <c r="N27" i="13"/>
  <c r="N40" i="3"/>
  <c r="N32" i="8"/>
  <c r="N35" i="8"/>
  <c r="N25" i="4"/>
  <c r="N27" i="4"/>
  <c r="N19" i="13"/>
  <c r="N63" i="7"/>
  <c r="N61" i="7"/>
  <c r="N13" i="4"/>
  <c r="N28" i="13"/>
  <c r="N29" i="13"/>
  <c r="N33" i="6"/>
  <c r="N32" i="13"/>
  <c r="O29" i="8"/>
  <c r="N50" i="13"/>
  <c r="N17" i="3"/>
  <c r="N29" i="3"/>
  <c r="N35" i="3"/>
  <c r="N17" i="4"/>
  <c r="N34" i="13"/>
  <c r="N35" i="13"/>
  <c r="N38" i="13"/>
  <c r="N34" i="6"/>
  <c r="N25" i="1"/>
  <c r="N15" i="4"/>
  <c r="N38" i="8"/>
  <c r="N39" i="8"/>
  <c r="N40" i="8"/>
  <c r="N51" i="13"/>
  <c r="N19" i="3"/>
  <c r="N22" i="1"/>
  <c r="N52" i="13"/>
  <c r="N27" i="1"/>
  <c r="N40" i="13"/>
  <c r="N41" i="13"/>
  <c r="N7" i="13"/>
  <c r="N41" i="3"/>
  <c r="N31" i="1"/>
  <c r="N84" i="8"/>
  <c r="N89" i="8"/>
  <c r="O83" i="8"/>
  <c r="N35" i="6"/>
  <c r="N7" i="4"/>
  <c r="N19" i="4"/>
  <c r="N30" i="1"/>
  <c r="N43" i="4"/>
  <c r="N18" i="13"/>
  <c r="N39" i="4"/>
  <c r="N43" i="3"/>
  <c r="N40" i="4"/>
  <c r="N21" i="13"/>
  <c r="N22" i="13"/>
  <c r="N8" i="13"/>
  <c r="N9" i="13"/>
  <c r="N7" i="3"/>
  <c r="N13" i="13"/>
  <c r="O4" i="4"/>
  <c r="N13" i="3"/>
  <c r="N20" i="3"/>
  <c r="N14" i="13"/>
  <c r="N15" i="13"/>
  <c r="N46" i="3"/>
  <c r="N6" i="13"/>
  <c r="N10" i="13"/>
  <c r="O21" i="7"/>
  <c r="O63" i="6"/>
  <c r="O8" i="7"/>
  <c r="O62" i="8"/>
  <c r="O63" i="8"/>
  <c r="O74" i="8"/>
  <c r="O75" i="8"/>
  <c r="O20" i="7"/>
  <c r="O60" i="7"/>
  <c r="O6" i="6"/>
  <c r="O10" i="4"/>
  <c r="O26" i="1"/>
  <c r="O30" i="4"/>
  <c r="O37" i="4"/>
  <c r="O20" i="13"/>
  <c r="O88" i="8"/>
  <c r="O87" i="8"/>
  <c r="O40" i="3"/>
  <c r="O13" i="6"/>
  <c r="O26" i="13"/>
  <c r="O33" i="13"/>
  <c r="O63" i="7"/>
  <c r="O61" i="7"/>
  <c r="O32" i="8"/>
  <c r="O35" i="8"/>
  <c r="O25" i="4"/>
  <c r="O27" i="4"/>
  <c r="O19" i="13"/>
  <c r="O27" i="13"/>
  <c r="O33" i="6"/>
  <c r="O32" i="13"/>
  <c r="O28" i="13"/>
  <c r="O29" i="13"/>
  <c r="O13" i="4"/>
  <c r="O39" i="13"/>
  <c r="O37" i="8"/>
  <c r="O34" i="13"/>
  <c r="O25" i="1"/>
  <c r="J10" i="5"/>
  <c r="O38" i="13"/>
  <c r="O34" i="6"/>
  <c r="O29" i="3"/>
  <c r="O35" i="3"/>
  <c r="O17" i="4"/>
  <c r="O40" i="8"/>
  <c r="O38" i="8"/>
  <c r="O39" i="8"/>
  <c r="O35" i="13"/>
  <c r="O15" i="4"/>
  <c r="O17" i="3"/>
  <c r="O50" i="13"/>
  <c r="O40" i="13"/>
  <c r="O41" i="13"/>
  <c r="O27" i="1"/>
  <c r="O7" i="13"/>
  <c r="O19" i="3"/>
  <c r="O51" i="13"/>
  <c r="O52" i="13"/>
  <c r="O43" i="4"/>
  <c r="O22" i="1"/>
  <c r="O84" i="8"/>
  <c r="O89" i="8"/>
  <c r="O41" i="3"/>
  <c r="O43" i="3"/>
  <c r="O30" i="1"/>
  <c r="O35" i="6"/>
  <c r="O7" i="4"/>
  <c r="O19" i="4"/>
  <c r="O31" i="1"/>
  <c r="O8" i="13"/>
  <c r="O9" i="13"/>
  <c r="O18" i="13"/>
  <c r="O39" i="4"/>
  <c r="D62" i="13"/>
  <c r="D63" i="13"/>
  <c r="D61" i="13"/>
  <c r="O21" i="13"/>
  <c r="O22" i="13"/>
  <c r="O40" i="4"/>
  <c r="D58" i="13"/>
  <c r="C61" i="5"/>
  <c r="D60" i="13"/>
  <c r="O7" i="3"/>
  <c r="O13" i="13"/>
  <c r="O13" i="3"/>
  <c r="O20" i="3"/>
  <c r="O14" i="13"/>
  <c r="O15" i="13"/>
  <c r="O6" i="13"/>
  <c r="O10" i="13"/>
  <c r="O46" i="3"/>
</calcChain>
</file>

<file path=xl/sharedStrings.xml><?xml version="1.0" encoding="utf-8"?>
<sst xmlns="http://schemas.openxmlformats.org/spreadsheetml/2006/main" count="573" uniqueCount="468">
  <si>
    <t>Assumptions</t>
  </si>
  <si>
    <t>Net sales:</t>
  </si>
  <si>
    <t>Operating expenses:</t>
  </si>
  <si>
    <t>Gross Profit</t>
  </si>
  <si>
    <t>Net Income</t>
  </si>
  <si>
    <t>COGS as a % Revenue</t>
  </si>
  <si>
    <t>Scenario Analysis</t>
  </si>
  <si>
    <t>Genaral Settings</t>
  </si>
  <si>
    <t>Table of Contents</t>
  </si>
  <si>
    <t>Cover Page</t>
  </si>
  <si>
    <t>Income Statement</t>
  </si>
  <si>
    <t>Balance Sheet</t>
  </si>
  <si>
    <t>Cash Flow Statement</t>
  </si>
  <si>
    <t>Assumptions &amp; Drivers</t>
  </si>
  <si>
    <t>Company Name</t>
  </si>
  <si>
    <t>Ticker</t>
  </si>
  <si>
    <t>AAPL</t>
  </si>
  <si>
    <t>Live Scenario</t>
  </si>
  <si>
    <t>Balance Sheet Balances?</t>
  </si>
  <si>
    <t>Fiscal Year End Date</t>
  </si>
  <si>
    <t>Apple Inc.</t>
  </si>
  <si>
    <t xml:space="preserve">Revenue Scenarios </t>
  </si>
  <si>
    <t>Best Case</t>
  </si>
  <si>
    <t>Base Case</t>
  </si>
  <si>
    <t>Worst Case</t>
  </si>
  <si>
    <t>Sector</t>
  </si>
  <si>
    <t>Technology</t>
  </si>
  <si>
    <t>Reference Price</t>
  </si>
  <si>
    <t>Market Cap</t>
  </si>
  <si>
    <t>Shares Outstanding</t>
  </si>
  <si>
    <t>Alerts</t>
  </si>
  <si>
    <t>Historical period</t>
  </si>
  <si>
    <t>Projection Period</t>
  </si>
  <si>
    <t>DCF Valuation</t>
  </si>
  <si>
    <t>Trading Comps</t>
  </si>
  <si>
    <t>Sensitivity Analysis</t>
  </si>
  <si>
    <t>Earnings per share:</t>
  </si>
  <si>
    <t>Shares used in computing earnings per share:</t>
  </si>
  <si>
    <t>Products </t>
  </si>
  <si>
    <t>Service</t>
  </si>
  <si>
    <t>Total net sales</t>
  </si>
  <si>
    <t>Research and development </t>
  </si>
  <si>
    <t>Total operating expenses </t>
  </si>
  <si>
    <t>Income before provision for income taxes </t>
  </si>
  <si>
    <t>Provision for income taxes</t>
  </si>
  <si>
    <t>Basic </t>
  </si>
  <si>
    <t>Diluted </t>
  </si>
  <si>
    <t>Net sales by category:</t>
  </si>
  <si>
    <t>iPhone </t>
  </si>
  <si>
    <t>Mac</t>
  </si>
  <si>
    <t>iPad</t>
  </si>
  <si>
    <t>Services</t>
  </si>
  <si>
    <t>ASSETS:</t>
  </si>
  <si>
    <t>Current assets:</t>
  </si>
  <si>
    <t>Non-current assets:</t>
  </si>
  <si>
    <t>LIABILITIES AND SHAREHOLDERS’ EQUITY:</t>
  </si>
  <si>
    <t>Current liabilities:</t>
  </si>
  <si>
    <t>Non-current liabilities:</t>
  </si>
  <si>
    <t>Commitments and contingencies</t>
  </si>
  <si>
    <t>Shareholders’ equity:</t>
  </si>
  <si>
    <t>Cash and cash equivalents</t>
  </si>
  <si>
    <t xml:space="preserve">Marketable securities </t>
  </si>
  <si>
    <t>Vendor non-trade receivables</t>
  </si>
  <si>
    <t xml:space="preserve">Inventories </t>
  </si>
  <si>
    <t xml:space="preserve">Other current assets </t>
  </si>
  <si>
    <t xml:space="preserve">Total current assets </t>
  </si>
  <si>
    <t xml:space="preserve">Other non-current assets </t>
  </si>
  <si>
    <t xml:space="preserve">Total non-current assets </t>
  </si>
  <si>
    <t xml:space="preserve">Total assets </t>
  </si>
  <si>
    <t>Accounts payable</t>
  </si>
  <si>
    <t xml:space="preserve">Other current liabilities </t>
  </si>
  <si>
    <t xml:space="preserve">Deferred revenue </t>
  </si>
  <si>
    <t xml:space="preserve">Commercial paper </t>
  </si>
  <si>
    <t xml:space="preserve">Term debt </t>
  </si>
  <si>
    <t>Total current liabilities</t>
  </si>
  <si>
    <t xml:space="preserve">Other non-current liabilities </t>
  </si>
  <si>
    <t>Total non-current liabilities</t>
  </si>
  <si>
    <t xml:space="preserve">Total liabilities </t>
  </si>
  <si>
    <t xml:space="preserve">Total shareholders’ equity </t>
  </si>
  <si>
    <t xml:space="preserve">Accumulated deficit </t>
  </si>
  <si>
    <t xml:space="preserve">Accumulated other comprehensive loss </t>
  </si>
  <si>
    <t>Revenue by segment growth:</t>
  </si>
  <si>
    <t>iPhone growth %</t>
  </si>
  <si>
    <t>Mac growth %</t>
  </si>
  <si>
    <t>iPad growth %</t>
  </si>
  <si>
    <t>Services growth %</t>
  </si>
  <si>
    <t>Wearables growth %</t>
  </si>
  <si>
    <t>R&amp;D as % of Revenue</t>
  </si>
  <si>
    <t>SG&amp;A as % of Revenue</t>
  </si>
  <si>
    <t>Other income as % of revenue</t>
  </si>
  <si>
    <t>Effective tax rate (%)</t>
  </si>
  <si>
    <t>Share count change (%) </t>
  </si>
  <si>
    <t xml:space="preserve">Gross margin trend </t>
  </si>
  <si>
    <t>September</t>
  </si>
  <si>
    <t>Figures in millions except number of shares which are reflected in thousands and per-share amounts</t>
  </si>
  <si>
    <t>Selling general and administrative </t>
  </si>
  <si>
    <t xml:space="preserve">Other income/(expense) net </t>
  </si>
  <si>
    <t>Wearables Home and Accessories </t>
  </si>
  <si>
    <t>Date</t>
  </si>
  <si>
    <t>x</t>
  </si>
  <si>
    <t>Revenue Build (FYE)</t>
  </si>
  <si>
    <t>Operating activities:</t>
  </si>
  <si>
    <t>Adjustments to reconcile net income to cash generated by operating activities:</t>
  </si>
  <si>
    <t>Changes in operating assets and liabilities:</t>
  </si>
  <si>
    <t>Investing activities:</t>
  </si>
  <si>
    <t>Financing activities:</t>
  </si>
  <si>
    <t>Supplemental cash flow disclosure:</t>
  </si>
  <si>
    <t xml:space="preserve">Net income </t>
  </si>
  <si>
    <t xml:space="preserve">Depreciation and amortization </t>
  </si>
  <si>
    <t xml:space="preserve">Share-based compensation expense </t>
  </si>
  <si>
    <t xml:space="preserve">Other </t>
  </si>
  <si>
    <t xml:space="preserve">Vendor non-trade receivables </t>
  </si>
  <si>
    <t xml:space="preserve">Other current and non-current assets </t>
  </si>
  <si>
    <t>Other current and non-current liabilities</t>
  </si>
  <si>
    <t>Cash generated by operating activities</t>
  </si>
  <si>
    <t xml:space="preserve">Purchases of marketable securities </t>
  </si>
  <si>
    <t xml:space="preserve">Proceeds from maturities of marketable securities </t>
  </si>
  <si>
    <t xml:space="preserve">Proceeds from sales of marketable securities </t>
  </si>
  <si>
    <t xml:space="preserve">Cash generated by investing activities </t>
  </si>
  <si>
    <t xml:space="preserve">Payments for taxes related to net share settlement of equity awards </t>
  </si>
  <si>
    <t xml:space="preserve">Payments for dividends and dividend equivalents </t>
  </si>
  <si>
    <t>Repurchases of common stock</t>
  </si>
  <si>
    <t xml:space="preserve">Repayments of term debt </t>
  </si>
  <si>
    <t>Other</t>
  </si>
  <si>
    <t xml:space="preserve">Cash used in financing activities </t>
  </si>
  <si>
    <t>Capex / Sales</t>
  </si>
  <si>
    <t>DSO (days)</t>
  </si>
  <si>
    <t>DIO (days)</t>
  </si>
  <si>
    <t>DPO (days)</t>
  </si>
  <si>
    <t>Products growth %</t>
  </si>
  <si>
    <t>Service growth%</t>
  </si>
  <si>
    <t xml:space="preserve">Accounts receivable net </t>
  </si>
  <si>
    <t xml:space="preserve">Property plant and equipment net </t>
  </si>
  <si>
    <t xml:space="preserve">Common stock and additional paid-in capital $0.00001 par value: 50400000 shares authorized; 14939315 and 15116786 shares issued and outstanding respectively </t>
  </si>
  <si>
    <t>FYE2022 - FYE2024</t>
  </si>
  <si>
    <t>FYE2025 - FYE2033</t>
  </si>
  <si>
    <t>Revenue Drivers</t>
  </si>
  <si>
    <t>Dilution ( %)</t>
  </si>
  <si>
    <t>Revenue Build</t>
  </si>
  <si>
    <t xml:space="preserve">EBIT margin </t>
  </si>
  <si>
    <t>EBITDA</t>
  </si>
  <si>
    <t>Adjusted EBITDA</t>
  </si>
  <si>
    <t>Net Margin</t>
  </si>
  <si>
    <t>% growth</t>
  </si>
  <si>
    <t>Mac Revenue</t>
  </si>
  <si>
    <t>IPad Revenue</t>
  </si>
  <si>
    <t>IPhone Revenue</t>
  </si>
  <si>
    <t>Wearables Home and Accessories Revenue</t>
  </si>
  <si>
    <t>Services Revenue</t>
  </si>
  <si>
    <t>Cost Structure</t>
  </si>
  <si>
    <t>Cash Flow Drivers</t>
  </si>
  <si>
    <t>Share Assumption</t>
  </si>
  <si>
    <t>Other  &amp; Taxes</t>
  </si>
  <si>
    <t xml:space="preserve">Cash cash equivalents and restricted cash and cash equivalents beginning balances </t>
  </si>
  <si>
    <t xml:space="preserve">Payments for acquisition of property plant and equipment </t>
  </si>
  <si>
    <t xml:space="preserve">Proceeds from issuance of term debt net </t>
  </si>
  <si>
    <t xml:space="preserve">Proceeds from/(Repayments of) commercial paper net </t>
  </si>
  <si>
    <t xml:space="preserve">Increase/(Decrease) in cash cash equivalents and restricted cash and cash equivalents </t>
  </si>
  <si>
    <t>Cash cash equivalents and restricted cash and cash equivalents ending balances</t>
  </si>
  <si>
    <t>Cash paid for income taxes net </t>
  </si>
  <si>
    <t>Balance check</t>
  </si>
  <si>
    <t>EBIT (Operating income)</t>
  </si>
  <si>
    <t>Cost of Goods</t>
  </si>
  <si>
    <t>Assumptions:</t>
  </si>
  <si>
    <t>Margins</t>
  </si>
  <si>
    <t>Balance Drivers</t>
  </si>
  <si>
    <t>Annual Dividend</t>
  </si>
  <si>
    <t>Depreciation (% of revenue)</t>
  </si>
  <si>
    <t>Dividend growth rate</t>
  </si>
  <si>
    <t>Fixed Assets Schedule</t>
  </si>
  <si>
    <t>Beginning PP&amp;E</t>
  </si>
  <si>
    <t>Capital Expenditures</t>
  </si>
  <si>
    <t>Depreciation related to PPE</t>
  </si>
  <si>
    <t>Ending PP&amp;E</t>
  </si>
  <si>
    <t>Fixed Assets Metrics:</t>
  </si>
  <si>
    <t>D&amp;A related to PP&amp;E as % of CapEx</t>
  </si>
  <si>
    <t>Total Depreciation &amp; Amortization</t>
  </si>
  <si>
    <t>D&amp;A not related to PPE</t>
  </si>
  <si>
    <t>D&amp;A not related to PPE as % of Revenue</t>
  </si>
  <si>
    <t>Total D&amp;A</t>
  </si>
  <si>
    <t>Annual Share Repurchases ($M)</t>
  </si>
  <si>
    <t>SBC (% of Revenue)</t>
  </si>
  <si>
    <t>RSU tax withholding (% of Revenue)</t>
  </si>
  <si>
    <t>Source: Apple 10-K FY2025 p.33 CFS — Dividends paid $15,421M (using $15,413M declared per IS)</t>
  </si>
  <si>
    <t>Source: Apple 10-K FY2025 p.29 — SBC $12,863M / Revenue $416,161M = 3.1%</t>
  </si>
  <si>
    <t>Source: Apple 10-K FY2025 p.33 CFS — RSU taxes $5,960M / Revenue $416,161M = 1.43%</t>
  </si>
  <si>
    <t>Source: Apple 10-K FY2025 p.29 — SBC $12,863M; projected at 3.1% of revenue</t>
  </si>
  <si>
    <t>Source: Apple 10-K FY2025 p.33 CFS — RSU taxes $5,960M; projected at 1.43% of revenue</t>
  </si>
  <si>
    <t>Source: Apple 10-K FY2025, Note 9 p.43 — Future Principal Payments: FY26=$12,393M FY27=$10,078M FY28=$9,300M FY29=$5,235M FY30=$4,972M FY31-33=$49,303M÷3≈$8,254M per year</t>
  </si>
  <si>
    <t>Memo item only,  not included in operating CF total. Approx = P&amp;L tax provision × 90%</t>
  </si>
  <si>
    <t>Working Capital Schedule</t>
  </si>
  <si>
    <t>Debt Schedule</t>
  </si>
  <si>
    <t>Equity Schedule</t>
  </si>
  <si>
    <t>Schedules</t>
  </si>
  <si>
    <t>in $ millions</t>
  </si>
  <si>
    <t>Precedent Transactions</t>
  </si>
  <si>
    <t>Checks</t>
  </si>
  <si>
    <t>Prepared by:</t>
  </si>
  <si>
    <t>Date:</t>
  </si>
  <si>
    <t>Version:</t>
  </si>
  <si>
    <t>Jessica ZIREGBE</t>
  </si>
  <si>
    <t>EBIT</t>
  </si>
  <si>
    <t>Tax Rate</t>
  </si>
  <si>
    <t>NOPAT</t>
  </si>
  <si>
    <t>Unlevered Free Cash Flow</t>
  </si>
  <si>
    <t>Discount Factor</t>
  </si>
  <si>
    <t>Present Value of FCF</t>
  </si>
  <si>
    <t>Terminal Value</t>
  </si>
  <si>
    <t>PV of Terminal Value</t>
  </si>
  <si>
    <t>Enterprise Value</t>
  </si>
  <si>
    <t>Equity Value</t>
  </si>
  <si>
    <t>Diluted Shares</t>
  </si>
  <si>
    <t>Implied Share Price</t>
  </si>
  <si>
    <t>Current Assets</t>
  </si>
  <si>
    <t>Accounts receivable</t>
  </si>
  <si>
    <t>Inventories</t>
  </si>
  <si>
    <t>Current Liabilities</t>
  </si>
  <si>
    <t>Net Working Capital</t>
  </si>
  <si>
    <t>Source: Apple 10-K FY2025 Note 5, p.39 | Capex: CFS p.33 | D&amp;A: CFS p.33</t>
  </si>
  <si>
    <t>Beginning term debt</t>
  </si>
  <si>
    <t>New issuances</t>
  </si>
  <si>
    <t>Ending Term Debt</t>
  </si>
  <si>
    <t>Scheduled Repayment</t>
  </si>
  <si>
    <t>Commercial paper</t>
  </si>
  <si>
    <t>Total debt</t>
  </si>
  <si>
    <t>Note</t>
  </si>
  <si>
    <t>Source: Apple 10-K FY2025 p.31 Balance Sheet | DSO/DIO/DPO from Assumptions tab</t>
  </si>
  <si>
    <t>Change in net working capital</t>
  </si>
  <si>
    <t>Source: Apple 10-K FY2025 pp.32–33 | Share count Note 10 p.44</t>
  </si>
  <si>
    <t>Source: Apple 10-K FY2025 Note 9, p.43 | Future principal payments per maturity schedule</t>
  </si>
  <si>
    <t>Dividends</t>
  </si>
  <si>
    <t>Net Repurchases</t>
  </si>
  <si>
    <t>Beginning Shares</t>
  </si>
  <si>
    <t>Net Issuances (RSU/ESPP net of withheld)</t>
  </si>
  <si>
    <t>Weighted-Average Diluted Shares</t>
  </si>
  <si>
    <t>Dividends Declared</t>
  </si>
  <si>
    <t>DPS</t>
  </si>
  <si>
    <t>Shares outstanding</t>
  </si>
  <si>
    <t>Land and buildings</t>
  </si>
  <si>
    <t>Machinery, equipment and internal-use software</t>
  </si>
  <si>
    <t>Leasehold improvemens</t>
  </si>
  <si>
    <t>Gross property, plant and equipment</t>
  </si>
  <si>
    <t>Accumulated depreciation</t>
  </si>
  <si>
    <t>Total property, plant and equipment, net</t>
  </si>
  <si>
    <t>PP&amp;E Depreciation (% of revenue)</t>
  </si>
  <si>
    <t>Source: Apple 10-K FY2025 Note 5, p.39 |IS, p.29</t>
  </si>
  <si>
    <t>Average repurchase price</t>
  </si>
  <si>
    <t>Avg Repurchase Price = Repurchase $M × 1,000 ÷ Shares Repurchased (000s)</t>
  </si>
  <si>
    <t xml:space="preserve">$M × 1,000,000 ÷ (shares × 1,000) = $M × 1,000 ÷ shares(000s) = $/share </t>
  </si>
  <si>
    <t>Weighted-Average Basic Shares</t>
  </si>
  <si>
    <t>Annual Dividends Declared</t>
  </si>
  <si>
    <t>Quarterly DPS</t>
  </si>
  <si>
    <t>Dividend Yield</t>
  </si>
  <si>
    <t>Annual Repurchases</t>
  </si>
  <si>
    <t>Average Repurchase Price</t>
  </si>
  <si>
    <t>Share-Based Compensation &amp; RSU Withholding</t>
  </si>
  <si>
    <t>SBC Expense</t>
  </si>
  <si>
    <t>RSU Tax Withholding</t>
  </si>
  <si>
    <t>Ending Balances</t>
  </si>
  <si>
    <t>Common Equity Rollforward</t>
  </si>
  <si>
    <t>Beginning Shareholders Equity</t>
  </si>
  <si>
    <t>Share Repurchases</t>
  </si>
  <si>
    <t>Ending Shareholders Equity</t>
  </si>
  <si>
    <t>Share Repurchase program</t>
  </si>
  <si>
    <t>Shares repurchased</t>
  </si>
  <si>
    <t>Total Net Sales</t>
  </si>
  <si>
    <t>Total Revenue</t>
  </si>
  <si>
    <t>YoY Growth</t>
  </si>
  <si>
    <t>Services % of Total revenue</t>
  </si>
  <si>
    <t>Notes:</t>
  </si>
  <si>
    <t>Apple ceased reporting units Nov-2018.</t>
  </si>
  <si>
    <t>Revenue (memo)</t>
  </si>
  <si>
    <t>D&amp;A</t>
  </si>
  <si>
    <t>Capex</t>
  </si>
  <si>
    <t>Change in NWC</t>
  </si>
  <si>
    <t>DISCOUNTING</t>
  </si>
  <si>
    <t>TERMINAL VALUE</t>
  </si>
  <si>
    <t>ENTERPRISE VALUE</t>
  </si>
  <si>
    <t>WACC</t>
  </si>
  <si>
    <t>Effective Tax rate</t>
  </si>
  <si>
    <t>Terminal year UFCF</t>
  </si>
  <si>
    <t>Terminal Growth Rate</t>
  </si>
  <si>
    <t>Beta (monthly over 5 years)</t>
  </si>
  <si>
    <t>Risk-Free rate</t>
  </si>
  <si>
    <t>Equity Risk Premium</t>
  </si>
  <si>
    <t>Net Debt</t>
  </si>
  <si>
    <t>Cash &amp; Cash equivalents</t>
  </si>
  <si>
    <t>Current Marketable securities</t>
  </si>
  <si>
    <t>Non Current Marketable securities</t>
  </si>
  <si>
    <t>Minority Interest</t>
  </si>
  <si>
    <t>Cost of Equity</t>
  </si>
  <si>
    <t>Pre-tax Cost of Debt</t>
  </si>
  <si>
    <t>After-tax Cost of Debt</t>
  </si>
  <si>
    <t>Equity weight</t>
  </si>
  <si>
    <t>Debt weight</t>
  </si>
  <si>
    <t>yahoo finance</t>
  </si>
  <si>
    <t>nyu stern</t>
  </si>
  <si>
    <t>Source Apple 10k Note new issuance</t>
  </si>
  <si>
    <t>UFCF (projected)</t>
  </si>
  <si>
    <t>Sum of PV of UFCFs</t>
  </si>
  <si>
    <t xml:space="preserve">PV of Terminal Value </t>
  </si>
  <si>
    <t>Enterprise Value (EV)</t>
  </si>
  <si>
    <t>Terminal NOPAT Margin</t>
  </si>
  <si>
    <t xml:space="preserve">Terminal Capex / Revenue </t>
  </si>
  <si>
    <t xml:space="preserve">Terminal D&amp;A / Revenue </t>
  </si>
  <si>
    <t xml:space="preserve">Terminal NWC / Revenue </t>
  </si>
  <si>
    <t>Period (t) from valuation date</t>
  </si>
  <si>
    <t>Sep- 27-2025</t>
  </si>
  <si>
    <t>Implied Revenue</t>
  </si>
  <si>
    <t>Company</t>
  </si>
  <si>
    <t>Mkt Cap</t>
  </si>
  <si>
    <t>EV</t>
  </si>
  <si>
    <t>Rev LTM</t>
  </si>
  <si>
    <t>Rev Growth</t>
  </si>
  <si>
    <t>Gross Margin</t>
  </si>
  <si>
    <t>EBIT Margin</t>
  </si>
  <si>
    <t>P/E LTM</t>
  </si>
  <si>
    <t>P/E NTM</t>
  </si>
  <si>
    <t>Data Source</t>
  </si>
  <si>
    <t>This Model</t>
  </si>
  <si>
    <t>Microsoft Corp.</t>
  </si>
  <si>
    <t>EV / Rev NTM</t>
  </si>
  <si>
    <t>EV / Rev LTM</t>
  </si>
  <si>
    <t>EV / EBITDA</t>
  </si>
  <si>
    <t>Alphabet Inc.</t>
  </si>
  <si>
    <t>Amazon.com Inc.</t>
  </si>
  <si>
    <t>NVIDIA Corp.</t>
  </si>
  <si>
    <t>Samsung Electronics</t>
  </si>
  <si>
    <t>Sony Group</t>
  </si>
  <si>
    <t>MSFT</t>
  </si>
  <si>
    <t>Yahoo finance</t>
  </si>
  <si>
    <t>GOOG</t>
  </si>
  <si>
    <t>Meta Platforms. Inc</t>
  </si>
  <si>
    <t>META</t>
  </si>
  <si>
    <t>AMZN</t>
  </si>
  <si>
    <t>005930.KS</t>
  </si>
  <si>
    <t>Primary listing: 005930.KS (KRX). Financials converted KRW→USD @1,380. USD data cross-checked via SSNLF (US OTC).</t>
  </si>
  <si>
    <t>Yahoo finance (SSNLF OTC - USD)</t>
  </si>
  <si>
    <t>SONY</t>
  </si>
  <si>
    <t>Min (excluding AAPL)</t>
  </si>
  <si>
    <t>25th Percentile</t>
  </si>
  <si>
    <t>Median (excluding AAPL)</t>
  </si>
  <si>
    <t>75th Percentile</t>
  </si>
  <si>
    <t>Mean (excluding AAPL)</t>
  </si>
  <si>
    <t>NVDA</t>
  </si>
  <si>
    <t>EV / Revenue (NTM)</t>
  </si>
  <si>
    <t>P/E (LTM)</t>
  </si>
  <si>
    <t>P/E (NTM)</t>
  </si>
  <si>
    <t>Implied valuation - Trading Comps Bridge</t>
  </si>
  <si>
    <t>25th Percentile Multiple</t>
  </si>
  <si>
    <t>75th Percentile Multiple</t>
  </si>
  <si>
    <t>Median Multiple</t>
  </si>
  <si>
    <t>Metric</t>
  </si>
  <si>
    <t>Reference / Current Price</t>
  </si>
  <si>
    <t>Upside / (Downside) - Median</t>
  </si>
  <si>
    <t>Source: Yahoo Finance | Data as of June 9, 2026 | All figures in USD billions except per-share amounts</t>
  </si>
  <si>
    <t>EV / Rev (LTM)</t>
  </si>
  <si>
    <t>EV/EBITDA (LTM)</t>
  </si>
  <si>
    <t>Total Assets</t>
  </si>
  <si>
    <t>Total Liabilities</t>
  </si>
  <si>
    <t>Total Shareholders' Equity</t>
  </si>
  <si>
    <t>Liabilities + Equity (check sum)</t>
  </si>
  <si>
    <t>CFS: Ending Cash &amp; Equivalents</t>
  </si>
  <si>
    <t>Balance Sheet: Cash &amp; Equivalents</t>
  </si>
  <si>
    <t>CHECK  |  CFS → Balance Sheet Cash Plug  [Target: 0]</t>
  </si>
  <si>
    <t>Cash Movement Detail</t>
  </si>
  <si>
    <t>Operating Cash Flow</t>
  </si>
  <si>
    <t>Investing Cash Flow</t>
  </si>
  <si>
    <t>Financing Cash Flow</t>
  </si>
  <si>
    <t>Net Change in Cash</t>
  </si>
  <si>
    <t>CHECK  |  Net Change = Op + Inv + Fin  [Target: 0]</t>
  </si>
  <si>
    <t>III. INCOME STATEMENT  ·  Key Line Reconciliations</t>
  </si>
  <si>
    <t>Gross Profit Bridge</t>
  </si>
  <si>
    <t>Revenue</t>
  </si>
  <si>
    <t>COGS</t>
  </si>
  <si>
    <t>Gross Profit (IS)</t>
  </si>
  <si>
    <t>CHECK  |  Gross Profit = Revenue – COGS  [Target: 0]</t>
  </si>
  <si>
    <t>EBIT Bridge</t>
  </si>
  <si>
    <t>Total Operating Expenses</t>
  </si>
  <si>
    <t>EBIT / Operating Income (IS)</t>
  </si>
  <si>
    <t>CHECK  |  EBIT = Gross Profit – OpEx  [Target: 0]</t>
  </si>
  <si>
    <t>EBITDA Bridge</t>
  </si>
  <si>
    <t>EBITDA (IS)</t>
  </si>
  <si>
    <t>CHECK  |  EBITDA = EBIT + D&amp;A  [Target: 0]</t>
  </si>
  <si>
    <t>IV.  SCHEDULES  ·  Debt &amp; PP&amp;E Roll-Forwards</t>
  </si>
  <si>
    <t>Ending Term Debt (Schedules)</t>
  </si>
  <si>
    <t>Long-term Debt (Balance Sheet)</t>
  </si>
  <si>
    <t>CHECK  |  Term Debt = LT Debt on Balance Sheet  [Target: 0]</t>
  </si>
  <si>
    <t>PP&amp;E Roll-Forward</t>
  </si>
  <si>
    <t>Ending PP&amp;E (Schedules)</t>
  </si>
  <si>
    <t>PP&amp;E Net (Balance Sheet)</t>
  </si>
  <si>
    <t>CHECK  |  PP&amp;E Schedules = Balance Sheet  [Target: 0]</t>
  </si>
  <si>
    <t>V.   DCF VALUATION  ·  Sanity Checks</t>
  </si>
  <si>
    <t>Value</t>
  </si>
  <si>
    <t>Commentary</t>
  </si>
  <si>
    <t>Implied Share Price (DCF)</t>
  </si>
  <si>
    <t>Reference Share Price</t>
  </si>
  <si>
    <t>DCF Premium / (Discount) to Market</t>
  </si>
  <si>
    <t>Implied EV (DCF)</t>
  </si>
  <si>
    <t>EV / LTM EBITDA (implied)</t>
  </si>
  <si>
    <t>Terminal Value as % of Total EV</t>
  </si>
  <si>
    <t>Revenue Growth YoY</t>
  </si>
  <si>
    <t>EBITDA Margin</t>
  </si>
  <si>
    <t>Net Income Margin</t>
  </si>
  <si>
    <t>CapEx as % of Revenue</t>
  </si>
  <si>
    <t>Free Cash Flow ($M)</t>
  </si>
  <si>
    <t>FCF Margin</t>
  </si>
  <si>
    <t>CHECK |  Balance Sheet  [Target: 0]</t>
  </si>
  <si>
    <t xml:space="preserve">VI.  KEY RATIO TRENDS   </t>
  </si>
  <si>
    <t>II. Cash Flow · Ending Cash ties to Balance Sheet</t>
  </si>
  <si>
    <t>I.Balanace Sheet · Asset=Liabilities + Equity</t>
  </si>
  <si>
    <t>Unamortized premium/(discount) and issuance costs,net, Hedge accounting for  value adjustment</t>
  </si>
  <si>
    <t>Acquirer</t>
  </si>
  <si>
    <t>Target</t>
  </si>
  <si>
    <t>Year</t>
  </si>
  <si>
    <t>Deal Value
($B)</t>
  </si>
  <si>
    <t>EV / Rev
(LTM)</t>
  </si>
  <si>
    <t>EV / EBITDA
(LTM)</t>
  </si>
  <si>
    <t>Premium
to Price</t>
  </si>
  <si>
    <t>Transaction
Type</t>
  </si>
  <si>
    <t>Note: Restricted cash per Apple 10-K FY2025 Note 1 reconciliation table. FY2022: $1,331M | FY2023: $772M | FY2024+: $0. CFS includes restricted cash (ASC 230); BS excludes it (ASC 210) — it sits in 'Other non-current assets' on the Balance Sheet. Adjusted CFS figures tie to BS for all years. See CFS rows 42–47.</t>
  </si>
  <si>
    <t>Source: Apple 10-K FY2025, Note 1 — Reconciliation of cash, cash equivalents and restricted cash. CFS includes restricted cash per ASC 230; Balance Sheet excludes it per ASC 210. Restricted cash relates to deposits securing lease obligations. FY2022 = $1,331M | FY2023 = $772M | FY2024+ = $0.</t>
  </si>
  <si>
    <t>June 2026</t>
  </si>
  <si>
    <t>v1.0</t>
  </si>
  <si>
    <t>Activision Blizzard</t>
  </si>
  <si>
    <t>All-Cash</t>
  </si>
  <si>
    <t>LTM Revenue</t>
  </si>
  <si>
    <t>LTM EBITDA</t>
  </si>
  <si>
    <t>Salesforce</t>
  </si>
  <si>
    <t>Slack</t>
  </si>
  <si>
    <t>Amazon</t>
  </si>
  <si>
    <t>MGM Holdings</t>
  </si>
  <si>
    <t>Disney</t>
  </si>
  <si>
    <t>21 Century Fox</t>
  </si>
  <si>
    <t>Dell</t>
  </si>
  <si>
    <t>EMC</t>
  </si>
  <si>
    <t>Broadcom</t>
  </si>
  <si>
    <t>Vmware</t>
  </si>
  <si>
    <t>IBM</t>
  </si>
  <si>
    <t>Red Hat</t>
  </si>
  <si>
    <t>Summary Statics (Disclosed Multiples)</t>
  </si>
  <si>
    <t>Min</t>
  </si>
  <si>
    <t>Median</t>
  </si>
  <si>
    <t>Mean</t>
  </si>
  <si>
    <t>Max</t>
  </si>
  <si>
    <t>Implied AAPL Valuation from Precedent Transaction Multiples</t>
  </si>
  <si>
    <t>Implied equity value per share using median EV/Rev LTM and EV/EBITDA multiples applied to AAPL FY2025 financials.</t>
  </si>
  <si>
    <t>Implied Price - EV/Revenue Median</t>
  </si>
  <si>
    <t>Implied Price - EV/EBITDA Median</t>
  </si>
  <si>
    <t>LinkedIn Corp.</t>
  </si>
  <si>
    <t>N/A</t>
  </si>
  <si>
    <t>Cash &amp; Stock</t>
  </si>
  <si>
    <t>TGR / WACC</t>
  </si>
  <si>
    <t xml:space="preserve">DCF IMPLIED SHARE PRICE : Service Growth x EBITDA Margin </t>
  </si>
  <si>
    <t>DCF IMPLIED SHARE PRICE : WACC X Terminal Growth Rate</t>
  </si>
  <si>
    <t>Precedent Transactions: EV/Revenue Multiple x Implied Share Price</t>
  </si>
  <si>
    <t>EV/Rev / EV/EBITDA</t>
  </si>
  <si>
    <t>Service Growth/EBITDA Mg</t>
  </si>
  <si>
    <t>TGR</t>
  </si>
  <si>
    <t>EV/Revenue</t>
  </si>
  <si>
    <t>EV/EBITDA</t>
  </si>
  <si>
    <t>Service growth</t>
  </si>
  <si>
    <t>Blue = Input / Assumption</t>
  </si>
  <si>
    <t>Black = Formula</t>
  </si>
  <si>
    <t>Green = Cross-sheet link</t>
  </si>
  <si>
    <t>Red = Below base case implied price</t>
  </si>
  <si>
    <t>Green fill = Above base case implied price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</si>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</sst>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#&quot;A&quot;"/>
    <numFmt numFmtId="165" formatCode="#&quot;E&quot;"/>
    <numFmt numFmtId="166" formatCode="0_);\(0\)"/>
    <numFmt numFmtId="167" formatCode="0.0%"/>
    <numFmt numFmtId="168" formatCode="0.000"/>
    <numFmt numFmtId="169" formatCode="0.0"/>
    <numFmt numFmtId="170" formatCode="0.00_);\(0.00\)"/>
    <numFmt numFmtId="171" formatCode="\-"/>
    <numFmt numFmtId="172" formatCode="0.0000000"/>
    <numFmt numFmtId="173" formatCode="_(* #,##0_);_(* \(#,##0\);_(* &quot;-&quot;??_);_(@_)"/>
    <numFmt numFmtId="174" formatCode="_(* #,##0.00_);_(* \(#,##0.00\);_(* &quot;-&quot;??_);_(@_)"/>
    <numFmt numFmtId="175" formatCode="#,##0;\(#,##0\);\-"/>
    <numFmt numFmtId="176" formatCode="0.0000"/>
    <numFmt numFmtId="177" formatCode="0.00&quot;x&quot;"/>
    <numFmt numFmtId="178" formatCode="General&quot;x&quot;"/>
    <numFmt numFmtId="179" formatCode="\$#,##0.00"/>
    <numFmt numFmtId="180" formatCode="0.0&quot;x&quot;"/>
    <numFmt numFmtId="181" formatCode="\$#,##0"/>
    <numFmt numFmtId="182" formatCode="0&quot;x&quot;"/>
    <numFmt numFmtId="183" formatCode="&quot;$&quot;#,##0.00"/>
    <numFmt numFmtId="184" formatCode="\$#,##0.0"/>
  </numFmts>
  <fonts count="6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42C4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0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i/>
      <sz val="12"/>
      <color theme="1"/>
      <name val="Calibri"/>
      <family val="2"/>
    </font>
    <font>
      <b/>
      <sz val="12"/>
      <color rgb="FFFFFFFF"/>
      <name val="Calibri"/>
      <family val="2"/>
    </font>
    <font>
      <i/>
      <sz val="9"/>
      <color rgb="FF595959"/>
      <name val="Calibri"/>
      <family val="2"/>
    </font>
    <font>
      <sz val="12"/>
      <color theme="0"/>
      <name val="Calibri"/>
      <family val="2"/>
    </font>
    <font>
      <sz val="12"/>
      <color theme="6" tint="0.39997558519241921"/>
      <name val="Calibri"/>
      <family val="2"/>
    </font>
    <font>
      <i/>
      <sz val="12"/>
      <color theme="1" tint="0.499984740745262"/>
      <name val="Calibri"/>
      <family val="2"/>
    </font>
    <font>
      <sz val="12"/>
      <color rgb="FF0042C4"/>
      <name val="Calibri"/>
      <family val="2"/>
    </font>
    <font>
      <b/>
      <sz val="12"/>
      <color theme="1"/>
      <name val="Calibri"/>
      <family val="2"/>
    </font>
    <font>
      <b/>
      <sz val="12"/>
      <color theme="1" tint="0.34998626667073579"/>
      <name val="Calibri"/>
      <family val="2"/>
    </font>
    <font>
      <sz val="12"/>
      <color theme="1" tint="0.34998626667073579"/>
      <name val="Calibri"/>
      <family val="2"/>
    </font>
    <font>
      <i/>
      <sz val="11"/>
      <color theme="1"/>
      <name val="Calibri"/>
      <family val="2"/>
    </font>
    <font>
      <u/>
      <sz val="12"/>
      <color theme="1"/>
      <name val="Calibri"/>
      <family val="2"/>
    </font>
    <font>
      <sz val="12"/>
      <color rgb="FF000000"/>
      <name val="Calibri"/>
      <family val="2"/>
    </font>
    <font>
      <b/>
      <sz val="20"/>
      <color theme="0"/>
      <name val="Calibri"/>
      <family val="2"/>
    </font>
    <font>
      <sz val="18"/>
      <color theme="0"/>
      <name val="Calibri"/>
      <family val="2"/>
    </font>
    <font>
      <sz val="12"/>
      <color theme="3" tint="0.249977111117893"/>
      <name val="Calibri"/>
      <family val="2"/>
    </font>
    <font>
      <sz val="12"/>
      <color theme="1" tint="0.249977111117893"/>
      <name val="Calibri"/>
      <family val="2"/>
    </font>
    <font>
      <sz val="9"/>
      <color rgb="FF000000"/>
      <name val="Calibri"/>
      <family val="2"/>
    </font>
    <font>
      <sz val="14"/>
      <color theme="0"/>
      <name val="Calibri"/>
      <family val="2"/>
    </font>
    <font>
      <b/>
      <sz val="11"/>
      <color theme="0"/>
      <name val="Calibri"/>
      <family val="2"/>
    </font>
    <font>
      <i/>
      <sz val="12"/>
      <color rgb="FF374151"/>
      <name val="Calibri"/>
      <family val="2"/>
    </font>
    <font>
      <sz val="12"/>
      <color rgb="FF374151"/>
      <name val="Calibri"/>
      <family val="2"/>
    </font>
    <font>
      <sz val="11"/>
      <color rgb="FF0432FF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9" tint="0.39997558519241921"/>
      <name val="Calibri"/>
      <family val="2"/>
    </font>
    <font>
      <sz val="12"/>
      <color theme="3" tint="0.499984740745262"/>
      <name val="Calibri"/>
      <family val="2"/>
    </font>
    <font>
      <sz val="12"/>
      <color theme="9" tint="-0.249977111117893"/>
      <name val="Calibri"/>
      <family val="2"/>
    </font>
    <font>
      <sz val="18"/>
      <color theme="1"/>
      <name val="Calibri"/>
      <family val="2"/>
    </font>
    <font>
      <b/>
      <sz val="12"/>
      <color rgb="FF0042C4"/>
      <name val="Calibri"/>
      <family val="2"/>
    </font>
    <font>
      <b/>
      <sz val="12"/>
      <color theme="3" tint="0.249977111117893"/>
      <name val="Calibri"/>
      <family val="2"/>
    </font>
    <font>
      <i/>
      <sz val="12"/>
      <color rgb="FF000000"/>
      <name val="Calibri"/>
      <family val="2"/>
    </font>
    <font>
      <sz val="16"/>
      <color theme="1"/>
      <name val="Calibri"/>
      <family val="2"/>
    </font>
    <font>
      <sz val="12"/>
      <color theme="1" tint="0.499984740745262"/>
      <name val="Calibri"/>
      <family val="2"/>
    </font>
    <font>
      <b/>
      <sz val="14"/>
      <color theme="6" tint="-0.249977111117893"/>
      <name val="Calibri"/>
      <family val="2"/>
    </font>
    <font>
      <b/>
      <sz val="14"/>
      <color theme="3" tint="0.249977111117893"/>
      <name val="Calibri"/>
      <family val="2"/>
    </font>
    <font>
      <b/>
      <sz val="14"/>
      <color rgb="FFFF0000"/>
      <name val="Calibri"/>
      <family val="2"/>
    </font>
    <font>
      <sz val="28"/>
      <color theme="1"/>
      <name val="Calibri"/>
      <family val="2"/>
    </font>
    <font>
      <sz val="2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theme="6" tint="-0.249977111117893"/>
      <name val="Calibri"/>
      <family val="2"/>
    </font>
    <font>
      <i/>
      <sz val="10"/>
      <color theme="1"/>
      <name val="Calibri"/>
      <family val="2"/>
    </font>
    <font>
      <b/>
      <sz val="12"/>
      <color rgb="FF374151"/>
      <name val="Calibri"/>
      <family val="2"/>
    </font>
    <font>
      <i/>
      <sz val="9"/>
      <color rgb="FF595959"/>
      <name val="Calibri"/>
      <family val="2"/>
      <charset val="1"/>
    </font>
    <font>
      <b/>
      <sz val="16"/>
      <color theme="0"/>
      <name val="Calibri"/>
      <family val="2"/>
    </font>
    <font>
      <b/>
      <sz val="12"/>
      <color theme="6" tint="0.39997558519241921"/>
      <name val="Calibri"/>
      <family val="2"/>
    </font>
    <font>
      <i/>
      <sz val="12"/>
      <color rgb="FF595959"/>
      <name val="Calibri"/>
      <family val="2"/>
    </font>
    <font>
      <sz val="12"/>
      <color rgb="FF0000FF"/>
      <name val="Calibri"/>
      <family val="2"/>
    </font>
    <font>
      <sz val="12"/>
      <color rgb="FF008000"/>
      <name val="Calibri"/>
      <family val="2"/>
    </font>
    <font>
      <sz val="12"/>
      <color rgb="FFFF9484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0FBA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5BA"/>
        <bgColor indexed="64"/>
      </patternFill>
    </fill>
    <fill>
      <patternFill patternType="solid">
        <fgColor rgb="FF2E75B6"/>
        <bgColor rgb="FF215F9A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/>
        <bgColor rgb="FF374151"/>
      </patternFill>
    </fill>
    <fill>
      <patternFill patternType="solid">
        <fgColor theme="3" tint="0.74987029633472702"/>
        <bgColor rgb="FFC0C0C0"/>
      </patternFill>
    </fill>
    <fill>
      <patternFill patternType="solid">
        <fgColor theme="3" tint="0.249977111117893"/>
        <bgColor rgb="FFC0C0C0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74" fontId="4" fillId="0" borderId="0" applyFont="0" applyFill="0" applyBorder="0" applyAlignment="0" applyProtection="0"/>
  </cellStyleXfs>
  <cellXfs count="287">
    <xf numFmtId="0" fontId="0" fillId="0" borderId="0" xfId="0"/>
    <xf numFmtId="2" fontId="0" fillId="0" borderId="0" xfId="0" applyNumberFormat="1"/>
    <xf numFmtId="1" fontId="0" fillId="0" borderId="0" xfId="0" applyNumberFormat="1"/>
    <xf numFmtId="9" fontId="0" fillId="0" borderId="0" xfId="1" applyFont="1"/>
    <xf numFmtId="0" fontId="0" fillId="0" borderId="10" xfId="0" applyBorder="1"/>
    <xf numFmtId="0" fontId="5" fillId="0" borderId="0" xfId="0" applyFont="1"/>
    <xf numFmtId="10" fontId="0" fillId="0" borderId="0" xfId="0" applyNumberFormat="1"/>
    <xf numFmtId="1" fontId="0" fillId="0" borderId="10" xfId="0" applyNumberFormat="1" applyBorder="1"/>
    <xf numFmtId="0" fontId="0" fillId="2" borderId="0" xfId="0" applyFill="1"/>
    <xf numFmtId="0" fontId="0" fillId="7" borderId="0" xfId="0" applyFill="1"/>
    <xf numFmtId="0" fontId="2" fillId="2" borderId="0" xfId="0" applyFont="1" applyFill="1"/>
    <xf numFmtId="0" fontId="7" fillId="4" borderId="1" xfId="0" applyFont="1" applyFill="1" applyBorder="1"/>
    <xf numFmtId="0" fontId="8" fillId="0" borderId="0" xfId="0" applyFont="1"/>
    <xf numFmtId="0" fontId="9" fillId="7" borderId="0" xfId="0" applyFont="1" applyFill="1"/>
    <xf numFmtId="0" fontId="10" fillId="0" borderId="0" xfId="0" applyFont="1"/>
    <xf numFmtId="0" fontId="9" fillId="4" borderId="1" xfId="0" applyFont="1" applyFill="1" applyBorder="1"/>
    <xf numFmtId="0" fontId="9" fillId="4" borderId="0" xfId="0" applyFont="1" applyFill="1"/>
    <xf numFmtId="0" fontId="13" fillId="4" borderId="0" xfId="0" applyFont="1" applyFill="1"/>
    <xf numFmtId="0" fontId="13" fillId="4" borderId="1" xfId="0" applyFont="1" applyFill="1" applyBorder="1"/>
    <xf numFmtId="0" fontId="9" fillId="7" borderId="0" xfId="0" applyFont="1" applyFill="1" applyAlignment="1">
      <alignment vertical="center" wrapText="1"/>
    </xf>
    <xf numFmtId="0" fontId="9" fillId="7" borderId="0" xfId="0" applyFont="1" applyFill="1" applyAlignment="1">
      <alignment horizontal="center" vertical="center" wrapText="1"/>
    </xf>
    <xf numFmtId="0" fontId="8" fillId="0" borderId="4" xfId="0" applyFont="1" applyBorder="1"/>
    <xf numFmtId="167" fontId="14" fillId="0" borderId="4" xfId="1" applyNumberFormat="1" applyFont="1" applyBorder="1"/>
    <xf numFmtId="10" fontId="14" fillId="0" borderId="4" xfId="1" applyNumberFormat="1" applyFont="1" applyBorder="1"/>
    <xf numFmtId="177" fontId="14" fillId="0" borderId="4" xfId="0" applyNumberFormat="1" applyFont="1" applyBorder="1"/>
    <xf numFmtId="177" fontId="14" fillId="0" borderId="4" xfId="1" applyNumberFormat="1" applyFont="1" applyBorder="1"/>
    <xf numFmtId="0" fontId="15" fillId="0" borderId="0" xfId="0" applyFont="1"/>
    <xf numFmtId="0" fontId="16" fillId="0" borderId="0" xfId="0" applyFont="1"/>
    <xf numFmtId="10" fontId="16" fillId="0" borderId="0" xfId="0" applyNumberFormat="1" applyFont="1"/>
    <xf numFmtId="167" fontId="16" fillId="0" borderId="0" xfId="1" applyNumberFormat="1" applyFont="1"/>
    <xf numFmtId="177" fontId="16" fillId="0" borderId="0" xfId="0" applyNumberFormat="1" applyFont="1"/>
    <xf numFmtId="2" fontId="16" fillId="0" borderId="0" xfId="0" applyNumberFormat="1" applyFont="1"/>
    <xf numFmtId="167" fontId="16" fillId="0" borderId="0" xfId="0" applyNumberFormat="1" applyFont="1"/>
    <xf numFmtId="178" fontId="16" fillId="0" borderId="0" xfId="0" applyNumberFormat="1" applyFont="1"/>
    <xf numFmtId="10" fontId="16" fillId="0" borderId="0" xfId="1" applyNumberFormat="1" applyFont="1"/>
    <xf numFmtId="0" fontId="17" fillId="0" borderId="0" xfId="0" applyFont="1"/>
    <xf numFmtId="2" fontId="8" fillId="0" borderId="0" xfId="1" applyNumberFormat="1" applyFont="1"/>
    <xf numFmtId="9" fontId="8" fillId="0" borderId="0" xfId="1" applyFont="1"/>
    <xf numFmtId="177" fontId="8" fillId="0" borderId="0" xfId="0" applyNumberFormat="1" applyFont="1"/>
    <xf numFmtId="167" fontId="8" fillId="0" borderId="0" xfId="1" applyNumberFormat="1" applyFont="1"/>
    <xf numFmtId="10" fontId="8" fillId="0" borderId="0" xfId="1" applyNumberFormat="1" applyFont="1"/>
    <xf numFmtId="177" fontId="8" fillId="0" borderId="0" xfId="1" applyNumberFormat="1" applyFont="1"/>
    <xf numFmtId="178" fontId="8" fillId="0" borderId="0" xfId="0" applyNumberFormat="1" applyFont="1"/>
    <xf numFmtId="0" fontId="9" fillId="2" borderId="0" xfId="0" applyFont="1" applyFill="1"/>
    <xf numFmtId="0" fontId="9" fillId="0" borderId="0" xfId="0" applyFont="1"/>
    <xf numFmtId="0" fontId="9" fillId="2" borderId="0" xfId="0" applyFont="1" applyFill="1" applyAlignment="1">
      <alignment horizontal="left" vertical="center" wrapText="1"/>
    </xf>
    <xf numFmtId="2" fontId="8" fillId="0" borderId="0" xfId="0" applyNumberFormat="1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8" fillId="3" borderId="0" xfId="0" applyFont="1" applyFill="1"/>
    <xf numFmtId="0" fontId="21" fillId="0" borderId="0" xfId="0" applyFont="1"/>
    <xf numFmtId="0" fontId="22" fillId="0" borderId="0" xfId="0" applyFont="1"/>
    <xf numFmtId="10" fontId="16" fillId="0" borderId="0" xfId="1" applyNumberFormat="1" applyFont="1" applyFill="1" applyBorder="1" applyAlignment="1">
      <alignment horizontal="right"/>
    </xf>
    <xf numFmtId="10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10" fontId="8" fillId="0" borderId="0" xfId="1" applyNumberFormat="1" applyFont="1" applyFill="1" applyBorder="1" applyAlignment="1">
      <alignment horizontal="right"/>
    </xf>
    <xf numFmtId="10" fontId="14" fillId="0" borderId="0" xfId="0" applyNumberFormat="1" applyFont="1" applyAlignment="1">
      <alignment horizontal="right"/>
    </xf>
    <xf numFmtId="9" fontId="8" fillId="0" borderId="0" xfId="1" applyFont="1" applyFill="1" applyBorder="1" applyAlignment="1">
      <alignment horizontal="right"/>
    </xf>
    <xf numFmtId="9" fontId="8" fillId="0" borderId="0" xfId="0" applyNumberFormat="1" applyFont="1" applyAlignment="1">
      <alignment horizontal="right"/>
    </xf>
    <xf numFmtId="10" fontId="17" fillId="0" borderId="4" xfId="1" applyNumberFormat="1" applyFont="1" applyBorder="1"/>
    <xf numFmtId="0" fontId="13" fillId="7" borderId="0" xfId="0" applyFont="1" applyFill="1"/>
    <xf numFmtId="164" fontId="13" fillId="7" borderId="0" xfId="0" applyNumberFormat="1" applyFont="1" applyFill="1"/>
    <xf numFmtId="1" fontId="14" fillId="0" borderId="0" xfId="0" applyNumberFormat="1" applyFont="1"/>
    <xf numFmtId="0" fontId="17" fillId="0" borderId="2" xfId="0" applyFont="1" applyBorder="1"/>
    <xf numFmtId="0" fontId="8" fillId="0" borderId="2" xfId="0" applyFont="1" applyBorder="1"/>
    <xf numFmtId="1" fontId="8" fillId="0" borderId="2" xfId="0" applyNumberFormat="1" applyFont="1" applyBorder="1"/>
    <xf numFmtId="0" fontId="14" fillId="0" borderId="0" xfId="0" applyFont="1"/>
    <xf numFmtId="166" fontId="14" fillId="0" borderId="0" xfId="0" applyNumberFormat="1" applyFont="1"/>
    <xf numFmtId="0" fontId="17" fillId="0" borderId="10" xfId="0" applyFont="1" applyBorder="1"/>
    <xf numFmtId="0" fontId="8" fillId="0" borderId="10" xfId="0" applyFont="1" applyBorder="1"/>
    <xf numFmtId="1" fontId="8" fillId="0" borderId="10" xfId="0" applyNumberFormat="1" applyFont="1" applyBorder="1"/>
    <xf numFmtId="176" fontId="8" fillId="0" borderId="0" xfId="0" applyNumberFormat="1" applyFont="1"/>
    <xf numFmtId="1" fontId="8" fillId="0" borderId="0" xfId="0" applyNumberFormat="1" applyFont="1"/>
    <xf numFmtId="10" fontId="8" fillId="0" borderId="0" xfId="0" applyNumberFormat="1" applyFont="1"/>
    <xf numFmtId="10" fontId="14" fillId="0" borderId="0" xfId="0" applyNumberFormat="1" applyFont="1"/>
    <xf numFmtId="1" fontId="17" fillId="0" borderId="4" xfId="0" applyNumberFormat="1" applyFont="1" applyBorder="1"/>
    <xf numFmtId="1" fontId="17" fillId="0" borderId="0" xfId="0" applyNumberFormat="1" applyFont="1"/>
    <xf numFmtId="1" fontId="8" fillId="0" borderId="4" xfId="0" applyNumberFormat="1" applyFont="1" applyBorder="1"/>
    <xf numFmtId="2" fontId="17" fillId="0" borderId="4" xfId="0" applyNumberFormat="1" applyFont="1" applyBorder="1"/>
    <xf numFmtId="0" fontId="23" fillId="4" borderId="0" xfId="0" applyFont="1" applyFill="1"/>
    <xf numFmtId="0" fontId="24" fillId="4" borderId="0" xfId="0" applyFont="1" applyFill="1"/>
    <xf numFmtId="164" fontId="9" fillId="2" borderId="0" xfId="0" applyNumberFormat="1" applyFont="1" applyFill="1"/>
    <xf numFmtId="165" fontId="9" fillId="2" borderId="0" xfId="0" applyNumberFormat="1" applyFont="1" applyFill="1"/>
    <xf numFmtId="0" fontId="25" fillId="0" borderId="0" xfId="0" applyFont="1"/>
    <xf numFmtId="0" fontId="22" fillId="0" borderId="2" xfId="0" applyFont="1" applyBorder="1"/>
    <xf numFmtId="1" fontId="25" fillId="0" borderId="0" xfId="0" applyNumberFormat="1" applyFont="1"/>
    <xf numFmtId="1" fontId="26" fillId="0" borderId="0" xfId="0" applyNumberFormat="1" applyFont="1"/>
    <xf numFmtId="0" fontId="27" fillId="0" borderId="0" xfId="0" applyFont="1"/>
    <xf numFmtId="0" fontId="22" fillId="0" borderId="1" xfId="0" applyFont="1" applyBorder="1"/>
    <xf numFmtId="0" fontId="22" fillId="0" borderId="4" xfId="0" applyFont="1" applyBorder="1"/>
    <xf numFmtId="0" fontId="8" fillId="0" borderId="1" xfId="0" applyFont="1" applyBorder="1"/>
    <xf numFmtId="1" fontId="8" fillId="0" borderId="1" xfId="0" applyNumberFormat="1" applyFont="1" applyBorder="1"/>
    <xf numFmtId="0" fontId="22" fillId="0" borderId="0" xfId="0" applyFont="1" applyAlignment="1">
      <alignment wrapText="1"/>
    </xf>
    <xf numFmtId="166" fontId="16" fillId="0" borderId="0" xfId="0" applyNumberFormat="1" applyFont="1"/>
    <xf numFmtId="166" fontId="8" fillId="0" borderId="0" xfId="0" applyNumberFormat="1" applyFont="1"/>
    <xf numFmtId="171" fontId="8" fillId="0" borderId="0" xfId="0" applyNumberFormat="1" applyFont="1"/>
    <xf numFmtId="0" fontId="6" fillId="4" borderId="0" xfId="0" applyFont="1" applyFill="1"/>
    <xf numFmtId="0" fontId="7" fillId="4" borderId="0" xfId="0" applyFont="1" applyFill="1"/>
    <xf numFmtId="0" fontId="28" fillId="4" borderId="0" xfId="0" applyFont="1" applyFill="1"/>
    <xf numFmtId="164" fontId="9" fillId="0" borderId="0" xfId="0" applyNumberFormat="1" applyFont="1"/>
    <xf numFmtId="165" fontId="9" fillId="0" borderId="0" xfId="0" applyNumberFormat="1" applyFont="1"/>
    <xf numFmtId="166" fontId="8" fillId="0" borderId="2" xfId="0" applyNumberFormat="1" applyFont="1" applyBorder="1"/>
    <xf numFmtId="0" fontId="29" fillId="4" borderId="0" xfId="0" applyFont="1" applyFill="1"/>
    <xf numFmtId="0" fontId="29" fillId="4" borderId="0" xfId="0" applyFont="1" applyFill="1" applyAlignment="1">
      <alignment horizontal="centerContinuous"/>
    </xf>
    <xf numFmtId="0" fontId="30" fillId="0" borderId="0" xfId="0" applyFont="1"/>
    <xf numFmtId="2" fontId="9" fillId="0" borderId="0" xfId="0" applyNumberFormat="1" applyFont="1"/>
    <xf numFmtId="0" fontId="31" fillId="0" borderId="0" xfId="0" applyFont="1"/>
    <xf numFmtId="1" fontId="16" fillId="0" borderId="0" xfId="0" applyNumberFormat="1" applyFont="1"/>
    <xf numFmtId="1" fontId="9" fillId="0" borderId="0" xfId="0" applyNumberFormat="1" applyFont="1"/>
    <xf numFmtId="0" fontId="31" fillId="0" borderId="2" xfId="0" applyFont="1" applyBorder="1"/>
    <xf numFmtId="0" fontId="9" fillId="0" borderId="2" xfId="0" applyFont="1" applyBorder="1"/>
    <xf numFmtId="1" fontId="17" fillId="0" borderId="2" xfId="0" applyNumberFormat="1" applyFont="1" applyBorder="1"/>
    <xf numFmtId="0" fontId="31" fillId="0" borderId="5" xfId="0" applyFont="1" applyBorder="1"/>
    <xf numFmtId="0" fontId="9" fillId="0" borderId="5" xfId="0" applyFont="1" applyBorder="1"/>
    <xf numFmtId="1" fontId="17" fillId="0" borderId="5" xfId="0" applyNumberFormat="1" applyFont="1" applyBorder="1"/>
    <xf numFmtId="173" fontId="16" fillId="0" borderId="0" xfId="0" applyNumberFormat="1" applyFont="1"/>
    <xf numFmtId="173" fontId="8" fillId="0" borderId="0" xfId="0" applyNumberFormat="1" applyFont="1"/>
    <xf numFmtId="37" fontId="32" fillId="0" borderId="0" xfId="0" applyNumberFormat="1" applyFont="1"/>
    <xf numFmtId="173" fontId="32" fillId="0" borderId="0" xfId="0" applyNumberFormat="1" applyFont="1"/>
    <xf numFmtId="0" fontId="33" fillId="0" borderId="4" xfId="0" applyFont="1" applyBorder="1"/>
    <xf numFmtId="3" fontId="33" fillId="0" borderId="4" xfId="0" applyNumberFormat="1" applyFont="1" applyBorder="1"/>
    <xf numFmtId="0" fontId="17" fillId="2" borderId="0" xfId="0" applyFont="1" applyFill="1"/>
    <xf numFmtId="167" fontId="10" fillId="0" borderId="0" xfId="1" applyNumberFormat="1" applyFont="1" applyFill="1"/>
    <xf numFmtId="0" fontId="33" fillId="0" borderId="2" xfId="0" applyFont="1" applyBorder="1"/>
    <xf numFmtId="37" fontId="33" fillId="0" borderId="2" xfId="0" applyNumberFormat="1" applyFont="1" applyBorder="1"/>
    <xf numFmtId="0" fontId="33" fillId="0" borderId="0" xfId="0" applyFont="1"/>
    <xf numFmtId="37" fontId="33" fillId="0" borderId="0" xfId="0" applyNumberFormat="1" applyFont="1"/>
    <xf numFmtId="173" fontId="33" fillId="0" borderId="0" xfId="0" applyNumberFormat="1" applyFont="1"/>
    <xf numFmtId="0" fontId="17" fillId="0" borderId="4" xfId="0" applyFont="1" applyBorder="1"/>
    <xf numFmtId="166" fontId="17" fillId="0" borderId="4" xfId="0" applyNumberFormat="1" applyFont="1" applyBorder="1"/>
    <xf numFmtId="166" fontId="17" fillId="0" borderId="0" xfId="0" applyNumberFormat="1" applyFont="1"/>
    <xf numFmtId="0" fontId="17" fillId="0" borderId="5" xfId="0" applyFont="1" applyBorder="1"/>
    <xf numFmtId="0" fontId="8" fillId="0" borderId="5" xfId="0" applyFont="1" applyBorder="1"/>
    <xf numFmtId="0" fontId="10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75" fontId="16" fillId="0" borderId="0" xfId="0" applyNumberFormat="1" applyFont="1"/>
    <xf numFmtId="0" fontId="17" fillId="0" borderId="10" xfId="0" applyFont="1" applyBorder="1" applyAlignment="1">
      <alignment horizontal="left"/>
    </xf>
    <xf numFmtId="166" fontId="17" fillId="0" borderId="10" xfId="0" applyNumberFormat="1" applyFont="1" applyBorder="1"/>
    <xf numFmtId="168" fontId="16" fillId="0" borderId="0" xfId="0" applyNumberFormat="1" applyFont="1"/>
    <xf numFmtId="168" fontId="8" fillId="0" borderId="0" xfId="0" applyNumberFormat="1" applyFont="1"/>
    <xf numFmtId="0" fontId="34" fillId="0" borderId="0" xfId="0" applyFont="1"/>
    <xf numFmtId="0" fontId="8" fillId="0" borderId="11" xfId="0" applyFont="1" applyBorder="1"/>
    <xf numFmtId="1" fontId="8" fillId="0" borderId="11" xfId="0" applyNumberFormat="1" applyFont="1" applyBorder="1"/>
    <xf numFmtId="0" fontId="34" fillId="0" borderId="1" xfId="0" applyFont="1" applyBorder="1"/>
    <xf numFmtId="0" fontId="25" fillId="0" borderId="1" xfId="0" applyFont="1" applyBorder="1"/>
    <xf numFmtId="1" fontId="14" fillId="0" borderId="1" xfId="0" applyNumberFormat="1" applyFont="1" applyBorder="1"/>
    <xf numFmtId="1" fontId="35" fillId="0" borderId="0" xfId="0" applyNumberFormat="1" applyFont="1"/>
    <xf numFmtId="0" fontId="35" fillId="0" borderId="0" xfId="0" applyFont="1"/>
    <xf numFmtId="171" fontId="36" fillId="0" borderId="0" xfId="0" applyNumberFormat="1" applyFont="1"/>
    <xf numFmtId="0" fontId="37" fillId="0" borderId="0" xfId="0" applyFont="1"/>
    <xf numFmtId="166" fontId="35" fillId="0" borderId="0" xfId="0" applyNumberFormat="1" applyFont="1"/>
    <xf numFmtId="175" fontId="35" fillId="0" borderId="0" xfId="0" applyNumberFormat="1" applyFont="1" applyAlignment="1">
      <alignment horizontal="right"/>
    </xf>
    <xf numFmtId="0" fontId="34" fillId="0" borderId="4" xfId="0" applyFont="1" applyBorder="1"/>
    <xf numFmtId="166" fontId="8" fillId="0" borderId="4" xfId="0" applyNumberFormat="1" applyFont="1" applyBorder="1"/>
    <xf numFmtId="171" fontId="16" fillId="0" borderId="0" xfId="0" applyNumberFormat="1" applyFont="1"/>
    <xf numFmtId="170" fontId="16" fillId="0" borderId="0" xfId="0" applyNumberFormat="1" applyFont="1"/>
    <xf numFmtId="166" fontId="8" fillId="0" borderId="1" xfId="0" applyNumberFormat="1" applyFont="1" applyBorder="1"/>
    <xf numFmtId="175" fontId="22" fillId="0" borderId="1" xfId="0" applyNumberFormat="1" applyFont="1" applyBorder="1" applyAlignment="1">
      <alignment horizontal="right"/>
    </xf>
    <xf numFmtId="0" fontId="34" fillId="0" borderId="5" xfId="0" applyFont="1" applyBorder="1"/>
    <xf numFmtId="166" fontId="8" fillId="0" borderId="5" xfId="0" applyNumberFormat="1" applyFont="1" applyBorder="1"/>
    <xf numFmtId="1" fontId="8" fillId="0" borderId="5" xfId="0" applyNumberFormat="1" applyFont="1" applyBorder="1"/>
    <xf numFmtId="0" fontId="38" fillId="4" borderId="0" xfId="0" applyFont="1" applyFill="1"/>
    <xf numFmtId="2" fontId="39" fillId="0" borderId="0" xfId="0" applyNumberFormat="1" applyFont="1"/>
    <xf numFmtId="2" fontId="17" fillId="0" borderId="0" xfId="0" applyNumberFormat="1" applyFont="1"/>
    <xf numFmtId="2" fontId="40" fillId="0" borderId="0" xfId="0" applyNumberFormat="1" applyFont="1"/>
    <xf numFmtId="37" fontId="16" fillId="0" borderId="1" xfId="0" applyNumberFormat="1" applyFont="1" applyBorder="1"/>
    <xf numFmtId="0" fontId="16" fillId="0" borderId="1" xfId="0" applyFont="1" applyBorder="1"/>
    <xf numFmtId="166" fontId="16" fillId="0" borderId="1" xfId="0" applyNumberFormat="1" applyFont="1" applyBorder="1"/>
    <xf numFmtId="0" fontId="17" fillId="5" borderId="5" xfId="0" applyFont="1" applyFill="1" applyBorder="1"/>
    <xf numFmtId="0" fontId="8" fillId="5" borderId="5" xfId="0" applyFont="1" applyFill="1" applyBorder="1"/>
    <xf numFmtId="1" fontId="17" fillId="5" borderId="5" xfId="0" applyNumberFormat="1" applyFont="1" applyFill="1" applyBorder="1"/>
    <xf numFmtId="172" fontId="8" fillId="0" borderId="0" xfId="0" applyNumberFormat="1" applyFont="1"/>
    <xf numFmtId="0" fontId="22" fillId="0" borderId="5" xfId="0" applyFont="1" applyBorder="1"/>
    <xf numFmtId="10" fontId="25" fillId="0" borderId="0" xfId="0" applyNumberFormat="1" applyFont="1"/>
    <xf numFmtId="9" fontId="25" fillId="0" borderId="0" xfId="0" applyNumberFormat="1" applyFont="1"/>
    <xf numFmtId="0" fontId="22" fillId="0" borderId="6" xfId="0" applyFont="1" applyBorder="1"/>
    <xf numFmtId="0" fontId="16" fillId="0" borderId="2" xfId="0" applyFont="1" applyBorder="1"/>
    <xf numFmtId="1" fontId="8" fillId="0" borderId="7" xfId="0" applyNumberFormat="1" applyFont="1" applyBorder="1"/>
    <xf numFmtId="0" fontId="41" fillId="0" borderId="8" xfId="0" applyFont="1" applyBorder="1"/>
    <xf numFmtId="10" fontId="8" fillId="0" borderId="1" xfId="0" applyNumberFormat="1" applyFont="1" applyBorder="1"/>
    <xf numFmtId="10" fontId="16" fillId="0" borderId="1" xfId="0" applyNumberFormat="1" applyFont="1" applyBorder="1"/>
    <xf numFmtId="10" fontId="16" fillId="0" borderId="9" xfId="0" applyNumberFormat="1" applyFont="1" applyBorder="1"/>
    <xf numFmtId="9" fontId="8" fillId="0" borderId="1" xfId="0" applyNumberFormat="1" applyFont="1" applyBorder="1"/>
    <xf numFmtId="167" fontId="16" fillId="0" borderId="1" xfId="0" applyNumberFormat="1" applyFont="1" applyBorder="1"/>
    <xf numFmtId="0" fontId="41" fillId="0" borderId="0" xfId="0" applyFont="1"/>
    <xf numFmtId="0" fontId="22" fillId="0" borderId="11" xfId="0" applyFont="1" applyBorder="1"/>
    <xf numFmtId="0" fontId="42" fillId="0" borderId="0" xfId="0" applyFont="1"/>
    <xf numFmtId="0" fontId="43" fillId="0" borderId="0" xfId="0" applyFont="1"/>
    <xf numFmtId="0" fontId="7" fillId="7" borderId="0" xfId="0" applyFont="1" applyFill="1"/>
    <xf numFmtId="0" fontId="38" fillId="7" borderId="0" xfId="0" applyFont="1" applyFill="1"/>
    <xf numFmtId="0" fontId="24" fillId="7" borderId="0" xfId="0" applyFont="1" applyFill="1"/>
    <xf numFmtId="0" fontId="17" fillId="6" borderId="0" xfId="0" applyFont="1" applyFill="1"/>
    <xf numFmtId="0" fontId="8" fillId="6" borderId="0" xfId="0" applyFont="1" applyFill="1"/>
    <xf numFmtId="9" fontId="16" fillId="0" borderId="0" xfId="1" applyFont="1"/>
    <xf numFmtId="0" fontId="39" fillId="6" borderId="0" xfId="0" applyFont="1" applyFill="1"/>
    <xf numFmtId="9" fontId="16" fillId="0" borderId="0" xfId="0" applyNumberFormat="1" applyFont="1"/>
    <xf numFmtId="167" fontId="39" fillId="6" borderId="0" xfId="0" applyNumberFormat="1" applyFont="1" applyFill="1"/>
    <xf numFmtId="0" fontId="16" fillId="6" borderId="0" xfId="0" applyFont="1" applyFill="1"/>
    <xf numFmtId="169" fontId="16" fillId="0" borderId="0" xfId="0" applyNumberFormat="1" applyFont="1"/>
    <xf numFmtId="0" fontId="44" fillId="8" borderId="0" xfId="0" applyFont="1" applyFill="1"/>
    <xf numFmtId="0" fontId="8" fillId="8" borderId="0" xfId="0" applyFont="1" applyFill="1"/>
    <xf numFmtId="0" fontId="16" fillId="8" borderId="0" xfId="0" applyFont="1" applyFill="1"/>
    <xf numFmtId="167" fontId="16" fillId="8" borderId="0" xfId="1" applyNumberFormat="1" applyFont="1" applyFill="1"/>
    <xf numFmtId="0" fontId="45" fillId="6" borderId="0" xfId="0" applyFont="1" applyFill="1"/>
    <xf numFmtId="0" fontId="22" fillId="6" borderId="0" xfId="0" applyFont="1" applyFill="1"/>
    <xf numFmtId="9" fontId="14" fillId="6" borderId="0" xfId="1" applyFont="1" applyFill="1"/>
    <xf numFmtId="0" fontId="46" fillId="9" borderId="0" xfId="0" applyFont="1" applyFill="1"/>
    <xf numFmtId="0" fontId="8" fillId="9" borderId="0" xfId="0" applyFont="1" applyFill="1"/>
    <xf numFmtId="9" fontId="16" fillId="9" borderId="0" xfId="1" applyFont="1" applyFill="1"/>
    <xf numFmtId="0" fontId="16" fillId="9" borderId="0" xfId="0" applyFont="1" applyFill="1"/>
    <xf numFmtId="0" fontId="22" fillId="9" borderId="0" xfId="0" applyFont="1" applyFill="1"/>
    <xf numFmtId="167" fontId="16" fillId="9" borderId="0" xfId="1" applyNumberFormat="1" applyFont="1" applyFill="1"/>
    <xf numFmtId="167" fontId="16" fillId="9" borderId="0" xfId="0" applyNumberFormat="1" applyFont="1" applyFill="1"/>
    <xf numFmtId="0" fontId="48" fillId="0" borderId="0" xfId="0" applyFont="1"/>
    <xf numFmtId="0" fontId="8" fillId="0" borderId="3" xfId="0" applyFont="1" applyBorder="1"/>
    <xf numFmtId="0" fontId="49" fillId="0" borderId="0" xfId="2" applyFont="1"/>
    <xf numFmtId="164" fontId="9" fillId="7" borderId="0" xfId="0" applyNumberFormat="1" applyFont="1" applyFill="1"/>
    <xf numFmtId="165" fontId="9" fillId="7" borderId="0" xfId="0" applyNumberFormat="1" applyFont="1" applyFill="1"/>
    <xf numFmtId="0" fontId="6" fillId="7" borderId="0" xfId="0" applyFont="1" applyFill="1"/>
    <xf numFmtId="0" fontId="6" fillId="2" borderId="0" xfId="0" applyFont="1" applyFill="1"/>
    <xf numFmtId="180" fontId="0" fillId="0" borderId="0" xfId="0" applyNumberFormat="1"/>
    <xf numFmtId="3" fontId="0" fillId="0" borderId="0" xfId="0" applyNumberFormat="1"/>
    <xf numFmtId="3" fontId="0" fillId="0" borderId="10" xfId="0" applyNumberFormat="1" applyBorder="1"/>
    <xf numFmtId="0" fontId="50" fillId="0" borderId="0" xfId="0" applyFont="1"/>
    <xf numFmtId="0" fontId="51" fillId="0" borderId="0" xfId="0" applyFont="1"/>
    <xf numFmtId="0" fontId="10" fillId="0" borderId="0" xfId="0" applyFont="1" applyAlignment="1">
      <alignment wrapText="1"/>
    </xf>
    <xf numFmtId="164" fontId="17" fillId="7" borderId="0" xfId="0" applyNumberFormat="1" applyFont="1" applyFill="1"/>
    <xf numFmtId="165" fontId="17" fillId="7" borderId="0" xfId="0" applyNumberFormat="1" applyFont="1" applyFill="1"/>
    <xf numFmtId="0" fontId="6" fillId="0" borderId="0" xfId="0" applyFont="1"/>
    <xf numFmtId="180" fontId="8" fillId="0" borderId="0" xfId="0" applyNumberFormat="1" applyFont="1"/>
    <xf numFmtId="0" fontId="11" fillId="10" borderId="0" xfId="0" applyFont="1" applyFill="1" applyAlignment="1">
      <alignment horizontal="center" vertical="center" wrapText="1"/>
    </xf>
    <xf numFmtId="179" fontId="17" fillId="0" borderId="0" xfId="0" applyNumberFormat="1" applyFont="1"/>
    <xf numFmtId="179" fontId="8" fillId="0" borderId="0" xfId="0" applyNumberFormat="1" applyFont="1"/>
    <xf numFmtId="179" fontId="14" fillId="0" borderId="4" xfId="0" applyNumberFormat="1" applyFont="1" applyBorder="1"/>
    <xf numFmtId="179" fontId="16" fillId="0" borderId="0" xfId="0" applyNumberFormat="1" applyFont="1"/>
    <xf numFmtId="179" fontId="16" fillId="0" borderId="0" xfId="1" applyNumberFormat="1" applyFont="1"/>
    <xf numFmtId="181" fontId="14" fillId="0" borderId="4" xfId="0" applyNumberFormat="1" applyFont="1" applyBorder="1"/>
    <xf numFmtId="181" fontId="16" fillId="0" borderId="0" xfId="0" applyNumberFormat="1" applyFont="1"/>
    <xf numFmtId="179" fontId="8" fillId="6" borderId="0" xfId="0" applyNumberFormat="1" applyFont="1" applyFill="1"/>
    <xf numFmtId="183" fontId="52" fillId="0" borderId="0" xfId="0" applyNumberFormat="1" applyFont="1"/>
    <xf numFmtId="9" fontId="8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179" fontId="8" fillId="0" borderId="0" xfId="0" applyNumberFormat="1" applyFont="1" applyAlignment="1">
      <alignment horizontal="center"/>
    </xf>
    <xf numFmtId="177" fontId="8" fillId="0" borderId="0" xfId="0" applyNumberFormat="1" applyFont="1" applyAlignment="1">
      <alignment horizontal="center"/>
    </xf>
    <xf numFmtId="180" fontId="8" fillId="0" borderId="0" xfId="0" applyNumberFormat="1" applyFont="1" applyAlignment="1">
      <alignment horizontal="center"/>
    </xf>
    <xf numFmtId="182" fontId="8" fillId="0" borderId="0" xfId="0" applyNumberFormat="1" applyFont="1" applyAlignment="1">
      <alignment horizontal="center"/>
    </xf>
    <xf numFmtId="167" fontId="8" fillId="0" borderId="0" xfId="1" applyNumberFormat="1" applyFont="1" applyAlignment="1">
      <alignment horizontal="center"/>
    </xf>
    <xf numFmtId="184" fontId="8" fillId="0" borderId="0" xfId="0" applyNumberFormat="1" applyFont="1" applyAlignment="1">
      <alignment horizontal="center"/>
    </xf>
    <xf numFmtId="2" fontId="8" fillId="11" borderId="0" xfId="0" applyNumberFormat="1" applyFont="1" applyFill="1" applyAlignment="1">
      <alignment horizontal="center"/>
    </xf>
    <xf numFmtId="169" fontId="8" fillId="0" borderId="0" xfId="0" applyNumberFormat="1" applyFont="1"/>
    <xf numFmtId="9" fontId="8" fillId="11" borderId="0" xfId="1" applyFont="1" applyFill="1" applyAlignment="1">
      <alignment horizontal="center"/>
    </xf>
    <xf numFmtId="0" fontId="53" fillId="0" borderId="0" xfId="0" applyFont="1" applyAlignment="1">
      <alignment horizontal="left" vertical="center"/>
    </xf>
    <xf numFmtId="4" fontId="8" fillId="0" borderId="0" xfId="0" applyNumberFormat="1" applyFont="1"/>
    <xf numFmtId="183" fontId="8" fillId="0" borderId="0" xfId="0" applyNumberFormat="1" applyFont="1" applyAlignment="1">
      <alignment horizontal="center"/>
    </xf>
    <xf numFmtId="10" fontId="13" fillId="7" borderId="0" xfId="1" applyNumberFormat="1" applyFont="1" applyFill="1" applyAlignment="1">
      <alignment horizontal="center"/>
    </xf>
    <xf numFmtId="0" fontId="9" fillId="12" borderId="0" xfId="0" applyFont="1" applyFill="1"/>
    <xf numFmtId="169" fontId="8" fillId="13" borderId="0" xfId="0" applyNumberFormat="1" applyFont="1" applyFill="1" applyAlignment="1">
      <alignment horizontal="center"/>
    </xf>
    <xf numFmtId="180" fontId="16" fillId="13" borderId="0" xfId="0" applyNumberFormat="1" applyFont="1" applyFill="1" applyAlignment="1">
      <alignment horizontal="center"/>
    </xf>
    <xf numFmtId="180" fontId="13" fillId="14" borderId="0" xfId="0" applyNumberFormat="1" applyFont="1" applyFill="1" applyAlignment="1">
      <alignment horizontal="center"/>
    </xf>
    <xf numFmtId="0" fontId="13" fillId="12" borderId="0" xfId="0" applyFont="1" applyFill="1"/>
    <xf numFmtId="2" fontId="8" fillId="13" borderId="0" xfId="0" applyNumberFormat="1" applyFont="1" applyFill="1" applyAlignment="1">
      <alignment horizontal="center"/>
    </xf>
    <xf numFmtId="167" fontId="8" fillId="13" borderId="0" xfId="0" applyNumberFormat="1" applyFont="1" applyFill="1" applyAlignment="1">
      <alignment horizontal="center"/>
    </xf>
    <xf numFmtId="10" fontId="13" fillId="14" borderId="0" xfId="0" applyNumberFormat="1" applyFont="1" applyFill="1" applyAlignment="1">
      <alignment horizontal="center"/>
    </xf>
    <xf numFmtId="167" fontId="13" fillId="14" borderId="0" xfId="0" applyNumberFormat="1" applyFont="1" applyFill="1" applyAlignment="1">
      <alignment horizontal="center"/>
    </xf>
    <xf numFmtId="9" fontId="13" fillId="7" borderId="0" xfId="1" applyFont="1" applyFill="1" applyAlignment="1">
      <alignment horizontal="center"/>
    </xf>
    <xf numFmtId="0" fontId="54" fillId="12" borderId="0" xfId="0" applyFont="1" applyFill="1"/>
    <xf numFmtId="0" fontId="8" fillId="0" borderId="0" xfId="0" applyFont="1" applyAlignment="1">
      <alignment horizontal="left" vertical="center"/>
    </xf>
    <xf numFmtId="10" fontId="14" fillId="0" borderId="0" xfId="1" applyNumberFormat="1" applyFont="1" applyAlignment="1">
      <alignment horizontal="left" vertical="center"/>
    </xf>
    <xf numFmtId="2" fontId="14" fillId="0" borderId="0" xfId="0" applyNumberFormat="1" applyFont="1" applyAlignment="1">
      <alignment horizontal="left" vertical="center"/>
    </xf>
    <xf numFmtId="10" fontId="14" fillId="0" borderId="0" xfId="0" applyNumberFormat="1" applyFont="1" applyAlignment="1">
      <alignment horizontal="left" vertical="center"/>
    </xf>
    <xf numFmtId="2" fontId="55" fillId="0" borderId="4" xfId="0" applyNumberFormat="1" applyFont="1" applyBorder="1"/>
    <xf numFmtId="0" fontId="9" fillId="12" borderId="0" xfId="0" applyFont="1" applyFill="1" applyAlignment="1">
      <alignment horizontal="center"/>
    </xf>
    <xf numFmtId="0" fontId="8" fillId="12" borderId="0" xfId="0" applyFont="1" applyFill="1"/>
    <xf numFmtId="9" fontId="9" fillId="12" borderId="0" xfId="0" applyNumberFormat="1" applyFont="1" applyFill="1"/>
    <xf numFmtId="9" fontId="9" fillId="12" borderId="0" xfId="0" applyNumberFormat="1" applyFont="1" applyFill="1" applyAlignment="1">
      <alignment horizontal="center"/>
    </xf>
    <xf numFmtId="0" fontId="56" fillId="0" borderId="0" xfId="0" applyFont="1" applyAlignment="1">
      <alignment horizontal="left" vertical="center"/>
    </xf>
    <xf numFmtId="0" fontId="57" fillId="0" borderId="0" xfId="0" applyFont="1"/>
    <xf numFmtId="0" fontId="58" fillId="0" borderId="0" xfId="0" applyFont="1"/>
    <xf numFmtId="0" fontId="59" fillId="0" borderId="0" xfId="0" applyFont="1"/>
    <xf numFmtId="0" fontId="9" fillId="4" borderId="0" xfId="0" applyFont="1" applyFill="1"/>
    <xf numFmtId="0" fontId="47" fillId="0" borderId="0" xfId="0" applyFont="1"/>
    <xf numFmtId="0" fontId="23" fillId="4" borderId="0" xfId="0" applyFont="1" applyFill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</cellXfs>
  <cellStyles count="4">
    <cellStyle name="Comma 3" xfId="3" xr:uid="{AF29C257-1861-A343-8BA7-370608AC46C3}"/>
    <cellStyle name="Lien hypertexte" xfId="2" builtinId="8"/>
    <cellStyle name="Normal" xfId="0" builtinId="0"/>
    <cellStyle name="Pourcentage" xfId="1" builtinId="5"/>
  </cellStyles>
  <dxfs count="1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484"/>
      <color rgb="FF0042C4"/>
      <color rgb="FFEBFFAF"/>
      <color rgb="FFFFC5BA"/>
      <color rgb="FFFCFFF5"/>
      <color rgb="FFEBFFCC"/>
      <color rgb="FFF0FB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596922</xdr:colOff>
      <xdr:row>1</xdr:row>
      <xdr:rowOff>203209</xdr:rowOff>
    </xdr:from>
    <xdr:to>
      <xdr:col>4</xdr:col>
      <xdr:colOff>589810</xdr:colOff>
      <xdr:row>2</xdr:row>
      <xdr:rowOff>19191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14B857C-755E-EF41-8DF4-9475C1668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6622" y="406409"/>
          <a:ext cx="704088" cy="552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A028-CDAA-F34F-90D1-0E8EDAF869A9}">
  <dimension ref="B2:J37"/>
  <sheetViews>
    <sheetView showGridLines="0" workbookViewId="0">
      <selection activeCell="F23" sqref="F23"/>
    </sheetView>
  </sheetViews>
  <sheetFormatPr baseColWidth="10" defaultRowHeight="16" x14ac:dyDescent="0.2"/>
  <cols>
    <col min="2" max="2" width="25.33203125" customWidth="1"/>
    <col min="3" max="3" width="15.6640625" customWidth="1"/>
    <col min="4" max="4" width="9.33203125" customWidth="1"/>
    <col min="5" max="5" width="20.1640625" customWidth="1"/>
    <col min="6" max="6" width="17.33203125" customWidth="1"/>
    <col min="7" max="7" width="7.83203125" customWidth="1"/>
    <col min="8" max="8" width="22.5" customWidth="1"/>
    <col min="9" max="9" width="16.33203125" customWidth="1"/>
  </cols>
  <sheetData>
    <row r="2" spans="2:10" ht="58" customHeight="1" x14ac:dyDescent="0.45">
      <c r="B2" s="282" t="str">
        <f>F5 &amp; " Financial Model"</f>
        <v>Apple Inc. Financial Model</v>
      </c>
      <c r="C2" s="282"/>
      <c r="D2" s="282"/>
      <c r="E2" s="282"/>
      <c r="F2" s="215"/>
      <c r="G2" s="215"/>
      <c r="H2" s="215"/>
      <c r="I2" s="215"/>
      <c r="J2" s="12"/>
    </row>
    <row r="3" spans="2:10" ht="16" customHeight="1" x14ac:dyDescent="0.2">
      <c r="B3" s="281" t="s">
        <v>6</v>
      </c>
      <c r="C3" s="281"/>
      <c r="D3" s="12"/>
      <c r="E3" s="281" t="s">
        <v>7</v>
      </c>
      <c r="F3" s="281"/>
      <c r="G3" s="12"/>
      <c r="H3" s="281" t="s">
        <v>8</v>
      </c>
      <c r="I3" s="281"/>
      <c r="J3" s="12"/>
    </row>
    <row r="4" spans="2:10" x14ac:dyDescent="0.2">
      <c r="B4" s="12"/>
      <c r="C4" s="12"/>
      <c r="D4" s="12"/>
      <c r="E4" s="12"/>
      <c r="F4" s="12"/>
      <c r="G4" s="12"/>
      <c r="H4" s="12"/>
      <c r="I4" s="12"/>
      <c r="J4" s="12"/>
    </row>
    <row r="5" spans="2:10" ht="16" customHeight="1" x14ac:dyDescent="0.2">
      <c r="B5" s="12" t="s">
        <v>17</v>
      </c>
      <c r="C5" s="216" t="s">
        <v>23</v>
      </c>
      <c r="D5" s="12"/>
      <c r="E5" s="194" t="s">
        <v>14</v>
      </c>
      <c r="F5" s="194" t="s">
        <v>20</v>
      </c>
      <c r="G5" s="12"/>
      <c r="H5" s="12" t="s">
        <v>9</v>
      </c>
      <c r="I5" s="12"/>
      <c r="J5" s="12"/>
    </row>
    <row r="6" spans="2:10" ht="16" customHeight="1" x14ac:dyDescent="0.2">
      <c r="B6" s="12"/>
      <c r="C6" s="12"/>
      <c r="D6" s="12"/>
      <c r="E6" s="12" t="s">
        <v>15</v>
      </c>
      <c r="F6" s="12" t="s">
        <v>16</v>
      </c>
      <c r="G6" s="12"/>
      <c r="H6" s="217" t="s">
        <v>13</v>
      </c>
      <c r="I6" s="12"/>
      <c r="J6" s="12"/>
    </row>
    <row r="7" spans="2:10" ht="16" customHeight="1" x14ac:dyDescent="0.2">
      <c r="B7" s="17" t="s">
        <v>30</v>
      </c>
      <c r="C7" s="17"/>
      <c r="D7" s="12"/>
      <c r="E7" s="194" t="s">
        <v>25</v>
      </c>
      <c r="F7" s="194" t="s">
        <v>26</v>
      </c>
      <c r="G7" s="12"/>
      <c r="H7" s="217" t="s">
        <v>138</v>
      </c>
      <c r="I7" s="12"/>
      <c r="J7" s="12"/>
    </row>
    <row r="8" spans="2:10" ht="16" customHeight="1" x14ac:dyDescent="0.2">
      <c r="B8" s="12"/>
      <c r="C8" s="12"/>
      <c r="D8" s="12"/>
      <c r="E8" s="12" t="s">
        <v>19</v>
      </c>
      <c r="F8" s="12" t="s">
        <v>93</v>
      </c>
      <c r="G8" s="12"/>
      <c r="H8" s="217" t="s">
        <v>10</v>
      </c>
      <c r="I8" s="12"/>
      <c r="J8" s="12"/>
    </row>
    <row r="9" spans="2:10" ht="16" customHeight="1" x14ac:dyDescent="0.2">
      <c r="B9" s="12" t="s">
        <v>18</v>
      </c>
      <c r="C9" s="225" t="str">
        <f>IF(Checks!D10=0,"✓ Balanced","✗ ERROR")</f>
        <v>✓ Balanced</v>
      </c>
      <c r="D9" s="12"/>
      <c r="E9" s="194" t="s">
        <v>31</v>
      </c>
      <c r="F9" s="194" t="s">
        <v>134</v>
      </c>
      <c r="G9" s="12"/>
      <c r="H9" s="217" t="s">
        <v>11</v>
      </c>
      <c r="I9" s="12"/>
      <c r="J9" s="12"/>
    </row>
    <row r="10" spans="2:10" ht="16" customHeight="1" x14ac:dyDescent="0.2">
      <c r="B10" s="12"/>
      <c r="C10" s="12"/>
      <c r="D10" s="12"/>
      <c r="E10" s="12" t="s">
        <v>32</v>
      </c>
      <c r="F10" s="12" t="s">
        <v>135</v>
      </c>
      <c r="G10" s="12"/>
      <c r="H10" s="217" t="s">
        <v>12</v>
      </c>
      <c r="I10" s="12"/>
      <c r="J10" s="12"/>
    </row>
    <row r="11" spans="2:10" ht="16" customHeight="1" x14ac:dyDescent="0.2">
      <c r="B11" s="12"/>
      <c r="C11" s="12"/>
      <c r="D11" s="12"/>
      <c r="E11" s="194" t="s">
        <v>27</v>
      </c>
      <c r="F11" s="240">
        <v>299.24</v>
      </c>
      <c r="G11" s="12"/>
      <c r="H11" s="217" t="s">
        <v>193</v>
      </c>
      <c r="I11" s="12"/>
      <c r="J11" s="12"/>
    </row>
    <row r="12" spans="2:10" ht="16" customHeight="1" x14ac:dyDescent="0.2">
      <c r="B12" s="12"/>
      <c r="C12" s="12"/>
      <c r="D12" s="12"/>
      <c r="E12" s="12" t="s">
        <v>28</v>
      </c>
      <c r="F12" s="234">
        <f>F11*F13</f>
        <v>4421.67587172</v>
      </c>
      <c r="G12" s="12"/>
      <c r="H12" s="217" t="s">
        <v>33</v>
      </c>
      <c r="I12" s="12"/>
      <c r="J12" s="12"/>
    </row>
    <row r="13" spans="2:10" ht="16" customHeight="1" x14ac:dyDescent="0.2">
      <c r="B13" s="12"/>
      <c r="C13" s="12"/>
      <c r="D13" s="12"/>
      <c r="E13" s="194" t="s">
        <v>29</v>
      </c>
      <c r="F13" s="240">
        <v>14.776353</v>
      </c>
      <c r="G13" s="12"/>
      <c r="H13" s="217" t="s">
        <v>34</v>
      </c>
      <c r="I13" s="12"/>
      <c r="J13" s="12"/>
    </row>
    <row r="14" spans="2:10" ht="16" customHeight="1" x14ac:dyDescent="0.2">
      <c r="B14" s="12"/>
      <c r="C14" s="12"/>
      <c r="D14" s="12"/>
      <c r="E14" s="12"/>
      <c r="F14" s="12"/>
      <c r="G14" s="12"/>
      <c r="H14" s="217" t="s">
        <v>195</v>
      </c>
      <c r="I14" s="12"/>
      <c r="J14" s="12"/>
    </row>
    <row r="15" spans="2:10" ht="16" customHeight="1" x14ac:dyDescent="0.2">
      <c r="B15" s="12"/>
      <c r="C15" s="12"/>
      <c r="D15" s="12"/>
      <c r="E15" s="12"/>
      <c r="F15" s="12"/>
      <c r="G15" s="12"/>
      <c r="H15" s="217" t="s">
        <v>35</v>
      </c>
      <c r="I15" s="12"/>
      <c r="J15" s="12"/>
    </row>
    <row r="16" spans="2:10" ht="16" customHeight="1" x14ac:dyDescent="0.2">
      <c r="B16" s="12"/>
      <c r="C16" s="12"/>
      <c r="D16" s="12"/>
      <c r="E16" s="12"/>
      <c r="F16" s="12"/>
      <c r="G16" s="12"/>
      <c r="H16" s="217" t="s">
        <v>196</v>
      </c>
      <c r="I16" s="12"/>
      <c r="J16" s="12"/>
    </row>
    <row r="17" spans="2:10" x14ac:dyDescent="0.2">
      <c r="B17" s="12"/>
      <c r="C17" s="12"/>
      <c r="D17" s="12"/>
      <c r="E17" s="12"/>
      <c r="F17" s="12"/>
      <c r="G17" s="12"/>
      <c r="H17" s="12"/>
      <c r="I17" s="12"/>
      <c r="J17" s="12"/>
    </row>
    <row r="18" spans="2:10" x14ac:dyDescent="0.2">
      <c r="B18" s="12"/>
      <c r="C18" s="12"/>
      <c r="D18" s="12"/>
      <c r="E18" s="12"/>
      <c r="F18" s="12"/>
      <c r="G18" s="12"/>
      <c r="H18" s="12"/>
      <c r="I18" s="12"/>
      <c r="J18" s="12"/>
    </row>
    <row r="19" spans="2:10" x14ac:dyDescent="0.2">
      <c r="B19" s="12" t="s">
        <v>197</v>
      </c>
      <c r="C19" s="12" t="s">
        <v>200</v>
      </c>
      <c r="D19" s="12"/>
      <c r="E19" s="12"/>
      <c r="F19" s="12"/>
      <c r="G19" s="12"/>
      <c r="H19" s="12"/>
      <c r="I19" s="12"/>
      <c r="J19" s="12"/>
    </row>
    <row r="20" spans="2:10" x14ac:dyDescent="0.2">
      <c r="B20" s="12" t="s">
        <v>198</v>
      </c>
      <c r="C20" s="12" t="s">
        <v>422</v>
      </c>
      <c r="D20" s="12"/>
      <c r="E20" s="12"/>
      <c r="F20" s="12"/>
      <c r="G20" s="12"/>
      <c r="H20" s="12"/>
      <c r="I20" s="12"/>
      <c r="J20" s="12"/>
    </row>
    <row r="21" spans="2:10" x14ac:dyDescent="0.2">
      <c r="B21" s="12" t="s">
        <v>199</v>
      </c>
      <c r="C21" s="12" t="s">
        <v>423</v>
      </c>
      <c r="D21" s="12"/>
      <c r="E21" s="12"/>
      <c r="F21" s="12"/>
      <c r="G21" s="12"/>
      <c r="H21" s="12"/>
      <c r="I21" s="12"/>
      <c r="J21" s="12"/>
    </row>
    <row r="22" spans="2:10" x14ac:dyDescent="0.2">
      <c r="B22" s="12"/>
      <c r="C22" s="12"/>
      <c r="D22" s="12"/>
      <c r="E22" s="12"/>
      <c r="F22" s="12"/>
      <c r="G22" s="12"/>
      <c r="H22" s="12"/>
      <c r="I22" s="12"/>
      <c r="J22" s="12"/>
    </row>
    <row r="23" spans="2:10" x14ac:dyDescent="0.2">
      <c r="B23" s="12"/>
      <c r="C23" s="12"/>
      <c r="D23" s="12"/>
      <c r="E23" s="12"/>
      <c r="F23" s="12"/>
      <c r="G23" s="12"/>
      <c r="H23" s="12"/>
      <c r="I23" s="12"/>
      <c r="J23" s="12"/>
    </row>
    <row r="24" spans="2:10" x14ac:dyDescent="0.2">
      <c r="B24" s="12"/>
      <c r="C24" s="12"/>
      <c r="D24" s="12"/>
      <c r="E24" s="12"/>
      <c r="F24" s="12"/>
      <c r="G24" s="12"/>
      <c r="H24" s="12"/>
      <c r="I24" s="12"/>
      <c r="J24" s="12"/>
    </row>
    <row r="25" spans="2:10" x14ac:dyDescent="0.2">
      <c r="B25" s="12"/>
      <c r="C25" s="12"/>
      <c r="D25" s="12"/>
      <c r="E25" s="12"/>
      <c r="F25" s="12"/>
      <c r="G25" s="12"/>
      <c r="H25" s="12"/>
      <c r="I25" s="12"/>
      <c r="J25" s="12"/>
    </row>
    <row r="26" spans="2:10" x14ac:dyDescent="0.2">
      <c r="B26" s="12"/>
      <c r="C26" s="12"/>
      <c r="D26" s="12"/>
      <c r="E26" s="12"/>
      <c r="F26" s="12"/>
      <c r="G26" s="12"/>
      <c r="H26" s="12"/>
      <c r="I26" s="12"/>
      <c r="J26" s="12"/>
    </row>
    <row r="27" spans="2:10" x14ac:dyDescent="0.2">
      <c r="B27" s="12"/>
      <c r="C27" s="12"/>
      <c r="D27" s="12"/>
      <c r="E27" s="12"/>
      <c r="F27" s="12"/>
      <c r="G27" s="12"/>
      <c r="H27" s="12"/>
      <c r="I27" s="12"/>
      <c r="J27" s="12"/>
    </row>
    <row r="28" spans="2:10" x14ac:dyDescent="0.2">
      <c r="B28" s="12"/>
      <c r="C28" s="12"/>
      <c r="D28" s="12"/>
      <c r="E28" s="12"/>
      <c r="F28" s="12"/>
      <c r="G28" s="12"/>
      <c r="H28" s="12"/>
      <c r="I28" s="12"/>
      <c r="J28" s="12"/>
    </row>
    <row r="29" spans="2:10" x14ac:dyDescent="0.2">
      <c r="B29" s="12"/>
      <c r="C29" s="12"/>
      <c r="D29" s="12"/>
      <c r="E29" s="12"/>
      <c r="F29" s="12"/>
      <c r="G29" s="12"/>
      <c r="H29" s="12"/>
      <c r="I29" s="12"/>
      <c r="J29" s="12"/>
    </row>
    <row r="30" spans="2:10" x14ac:dyDescent="0.2">
      <c r="B30" s="12"/>
      <c r="C30" s="12"/>
      <c r="D30" s="12"/>
      <c r="E30" s="12"/>
      <c r="F30" s="12"/>
      <c r="G30" s="12"/>
      <c r="H30" s="12"/>
      <c r="I30" s="12"/>
      <c r="J30" s="12"/>
    </row>
    <row r="31" spans="2:10" x14ac:dyDescent="0.2">
      <c r="B31" s="12"/>
      <c r="C31" s="12"/>
      <c r="D31" s="12"/>
      <c r="E31" s="12"/>
      <c r="F31" s="12"/>
      <c r="G31" s="12"/>
      <c r="H31" s="12"/>
      <c r="I31" s="12"/>
      <c r="J31" s="12"/>
    </row>
    <row r="32" spans="2:10" x14ac:dyDescent="0.2">
      <c r="B32" s="12"/>
      <c r="C32" s="12"/>
      <c r="D32" s="12"/>
      <c r="E32" s="12"/>
      <c r="F32" s="12"/>
      <c r="G32" s="12"/>
      <c r="H32" s="12"/>
      <c r="I32" s="12"/>
      <c r="J32" s="12"/>
    </row>
    <row r="33" spans="2:10" x14ac:dyDescent="0.2">
      <c r="B33" s="12"/>
      <c r="C33" s="12"/>
      <c r="D33" s="12"/>
      <c r="E33" s="12"/>
      <c r="F33" s="12"/>
      <c r="G33" s="12"/>
      <c r="H33" s="12"/>
      <c r="I33" s="12"/>
      <c r="J33" s="12"/>
    </row>
    <row r="34" spans="2:10" x14ac:dyDescent="0.2">
      <c r="B34" s="12"/>
      <c r="C34" s="12"/>
      <c r="D34" s="12"/>
      <c r="E34" s="12"/>
      <c r="F34" s="12"/>
      <c r="G34" s="12"/>
      <c r="H34" s="12"/>
      <c r="I34" s="12"/>
      <c r="J34" s="12"/>
    </row>
    <row r="35" spans="2:10" x14ac:dyDescent="0.2">
      <c r="B35" s="12"/>
      <c r="C35" s="12"/>
      <c r="D35" s="12"/>
      <c r="E35" s="12"/>
      <c r="F35" s="12"/>
      <c r="G35" s="12"/>
      <c r="H35" s="12"/>
      <c r="I35" s="12"/>
      <c r="J35" s="12"/>
    </row>
    <row r="36" spans="2:10" x14ac:dyDescent="0.2">
      <c r="B36" s="12"/>
      <c r="C36" s="12"/>
      <c r="D36" s="12"/>
      <c r="E36" s="12"/>
      <c r="F36" s="12"/>
      <c r="G36" s="12"/>
      <c r="H36" s="12"/>
      <c r="I36" s="12"/>
      <c r="J36" s="12"/>
    </row>
    <row r="37" spans="2:10" x14ac:dyDescent="0.2">
      <c r="B37" s="12"/>
      <c r="C37" s="12"/>
      <c r="D37" s="12"/>
      <c r="E37" s="12"/>
      <c r="F37" s="12"/>
      <c r="G37" s="12"/>
      <c r="H37" s="12"/>
      <c r="I37" s="12"/>
      <c r="J37" s="12"/>
    </row>
  </sheetData>
  <mergeCells count="4">
    <mergeCell ref="H3:I3"/>
    <mergeCell ref="E3:F3"/>
    <mergeCell ref="B3:C3"/>
    <mergeCell ref="B2:E2"/>
  </mergeCells>
  <dataValidations count="1">
    <dataValidation type="list" allowBlank="1" showInputMessage="1" showErrorMessage="1" sqref="C5" xr:uid="{9AEDAA17-8D26-6E42-BA46-68FD469C6944}">
      <formula1>"Best Case, Base Case, Worst Case"</formula1>
    </dataValidation>
  </dataValidations>
  <hyperlinks>
    <hyperlink ref="H14" location="'Precedent Transactions'!H14" display="Precedent Transactions" xr:uid="{92CC3F5F-26E3-904D-B6F8-28CC36F18D77}"/>
    <hyperlink ref="H16" location="Checks!A1" display="Checks" xr:uid="{D57D167F-0742-8C42-B648-7E5AC78A6C7B}"/>
    <hyperlink ref="H13" location="'Trading Comps'!A1" display="Trading Comps" xr:uid="{796BC5C0-9411-E146-B620-D0F14C518773}"/>
    <hyperlink ref="H11" location="Schedules!A1" display="Schedules" xr:uid="{44D90443-CD02-364E-BC95-7C00A1990048}"/>
    <hyperlink ref="H7" location="'Revenue Build'!A1" display="Revenue Build" xr:uid="{A7CD7531-3AFC-2C4C-872C-FE77B4394FC1}"/>
    <hyperlink ref="H6" location="Assumptions!A1" display="Assumptions &amp; Drivers" xr:uid="{7EFC4583-6FC9-AA46-BEE4-A565E86225D5}"/>
    <hyperlink ref="H12" location="'DCF Valuation'!A1" display="DCF Valuation" xr:uid="{19BB6E87-FEBE-AE43-A8D9-14376B22D45D}"/>
    <hyperlink ref="H10" location="'Cash Flow Statements'!A1" display="Cash Flow Statement" xr:uid="{58A0DFCE-8F16-384A-B228-6BBC65CCE6F5}"/>
    <hyperlink ref="H9" location="'Balance Sheet'!A1" display="Balance Sheet" xr:uid="{DD65BDE2-7BB4-364F-A404-0DB3D5B6DF8D}"/>
    <hyperlink ref="H8" location="'Income Statement'!A1" display="Income Statement" xr:uid="{4EDFF7FE-41E8-2B48-B1EB-F19A73F06E50}"/>
    <hyperlink ref="H15" location="'Sensitivity analysis'!A1" display="Sensitivity Analysis" xr:uid="{181BF03D-43E1-3142-947E-7D8782AA96BC}"/>
  </hyperlink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F36C-11C9-844E-B39E-99FCC8E0E810}">
  <dimension ref="B2:AR697"/>
  <sheetViews>
    <sheetView showGridLines="0" topLeftCell="A44" zoomScale="75" workbookViewId="0">
      <selection activeCell="I63" sqref="I63"/>
    </sheetView>
  </sheetViews>
  <sheetFormatPr baseColWidth="10" defaultRowHeight="16" x14ac:dyDescent="0.2"/>
  <cols>
    <col min="1" max="1" width="8.33203125" customWidth="1"/>
    <col min="2" max="2" width="32.6640625" customWidth="1"/>
    <col min="19" max="19" width="56.1640625" customWidth="1"/>
  </cols>
  <sheetData>
    <row r="2" spans="2:44" ht="24" x14ac:dyDescent="0.3">
      <c r="B2" s="98" t="s">
        <v>0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</row>
    <row r="3" spans="2:44" ht="24" x14ac:dyDescent="0.3">
      <c r="B3" s="190"/>
      <c r="C3" s="191"/>
      <c r="D3" s="192">
        <v>2022</v>
      </c>
      <c r="E3" s="192">
        <f>D3+1</f>
        <v>2023</v>
      </c>
      <c r="F3" s="192">
        <f t="shared" ref="F3:O3" si="0">E3+1</f>
        <v>2024</v>
      </c>
      <c r="G3" s="192">
        <f t="shared" si="0"/>
        <v>2025</v>
      </c>
      <c r="H3" s="192">
        <f t="shared" si="0"/>
        <v>2026</v>
      </c>
      <c r="I3" s="192">
        <f t="shared" si="0"/>
        <v>2027</v>
      </c>
      <c r="J3" s="192">
        <f t="shared" si="0"/>
        <v>2028</v>
      </c>
      <c r="K3" s="192">
        <f t="shared" si="0"/>
        <v>2029</v>
      </c>
      <c r="L3" s="192">
        <f t="shared" si="0"/>
        <v>2030</v>
      </c>
      <c r="M3" s="192">
        <f t="shared" si="0"/>
        <v>2031</v>
      </c>
      <c r="N3" s="192">
        <f t="shared" si="0"/>
        <v>2032</v>
      </c>
      <c r="O3" s="192">
        <f t="shared" si="0"/>
        <v>2033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</row>
    <row r="4" spans="2:44" x14ac:dyDescent="0.2">
      <c r="B4" s="193" t="s">
        <v>136</v>
      </c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</row>
    <row r="5" spans="2:44" x14ac:dyDescent="0.2">
      <c r="B5" s="12"/>
      <c r="C5" s="27"/>
      <c r="D5" s="27"/>
      <c r="E5" s="29"/>
      <c r="F5" s="29"/>
      <c r="G5" s="29"/>
      <c r="H5" s="195"/>
      <c r="I5" s="195"/>
      <c r="J5" s="195"/>
      <c r="K5" s="195"/>
      <c r="L5" s="195"/>
      <c r="M5" s="195"/>
      <c r="N5" s="195"/>
      <c r="O5" s="195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</row>
    <row r="6" spans="2:44" x14ac:dyDescent="0.2">
      <c r="B6" s="52" t="s">
        <v>129</v>
      </c>
      <c r="C6" s="27"/>
      <c r="D6" s="27"/>
      <c r="E6" s="29"/>
      <c r="F6" s="29"/>
      <c r="G6" s="29">
        <v>0.04</v>
      </c>
      <c r="H6" s="195">
        <f>('Revenue Build'!H3+'Revenue Build'!H4+'Revenue Build'!H5)/('Revenue Build'!G3+'Revenue Build'!G4+'Revenue Build'!G5+'Revenue Build'!G6)-1</f>
        <v>-7.6192936225378816E-2</v>
      </c>
      <c r="I6" s="195">
        <f>('Revenue Build'!I3+'Revenue Build'!I4+'Revenue Build'!I5)/('Revenue Build'!H3+'Revenue Build'!H4+'Revenue Build'!H5+'Revenue Build'!H6)-1</f>
        <v>-8.8231627501451526E-2</v>
      </c>
      <c r="J6" s="195">
        <f>('Revenue Build'!J3+'Revenue Build'!J4+'Revenue Build'!J5)/('Revenue Build'!I3+'Revenue Build'!I4+'Revenue Build'!I5+'Revenue Build'!I6)-1</f>
        <v>-8.899394582943454E-2</v>
      </c>
      <c r="K6" s="195">
        <f>('Revenue Build'!K3+'Revenue Build'!K4+'Revenue Build'!K5)/('Revenue Build'!J3+'Revenue Build'!J4+'Revenue Build'!J5+'Revenue Build'!J6)-1</f>
        <v>-9.3804412500133716E-2</v>
      </c>
      <c r="L6" s="195">
        <f>('Revenue Build'!L3+'Revenue Build'!L4+'Revenue Build'!L5)/('Revenue Build'!K3+'Revenue Build'!K4+'Revenue Build'!K5+'Revenue Build'!K6)-1</f>
        <v>-9.5258766020559937E-2</v>
      </c>
      <c r="M6" s="195">
        <f>('Revenue Build'!M3+'Revenue Build'!M4+'Revenue Build'!M5)/('Revenue Build'!L3+'Revenue Build'!L4+'Revenue Build'!L5+'Revenue Build'!L6)-1</f>
        <v>-0.1000461133928936</v>
      </c>
      <c r="N6" s="195">
        <f>('Revenue Build'!N3+'Revenue Build'!N4+'Revenue Build'!N5)/('Revenue Build'!M3+'Revenue Build'!M4+'Revenue Build'!M5+'Revenue Build'!M6)-1</f>
        <v>-0.10202292665911405</v>
      </c>
      <c r="O6" s="195">
        <f>('Revenue Build'!O3+'Revenue Build'!O4+'Revenue Build'!O5)/('Revenue Build'!N3+'Revenue Build'!N4+'Revenue Build'!N5+'Revenue Build'!N6)-1</f>
        <v>-0.10349483158728745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</row>
    <row r="7" spans="2:44" x14ac:dyDescent="0.2">
      <c r="B7" s="12" t="s">
        <v>130</v>
      </c>
      <c r="C7" s="27"/>
      <c r="D7" s="27"/>
      <c r="E7" s="29"/>
      <c r="F7" s="29"/>
      <c r="G7" s="29">
        <v>0.13500000000000001</v>
      </c>
      <c r="H7" s="195">
        <f>'Revenue Build'!H7/'Revenue Build'!G7-1</f>
        <v>0.14000000000000012</v>
      </c>
      <c r="I7" s="195">
        <v>0.09</v>
      </c>
      <c r="J7" s="195">
        <v>0.08</v>
      </c>
      <c r="K7" s="195">
        <v>0.06</v>
      </c>
      <c r="L7" s="195">
        <v>0.05</v>
      </c>
      <c r="M7" s="195">
        <v>0.05</v>
      </c>
      <c r="N7" s="195">
        <v>4.4999999999999998E-2</v>
      </c>
      <c r="O7" s="195">
        <v>0.04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</row>
    <row r="8" spans="2:44" x14ac:dyDescent="0.2">
      <c r="B8" s="12"/>
      <c r="C8" s="27"/>
      <c r="D8" s="27"/>
      <c r="E8" s="29"/>
      <c r="F8" s="29"/>
      <c r="G8" s="29"/>
      <c r="H8" s="195"/>
      <c r="I8" s="195"/>
      <c r="J8" s="195"/>
      <c r="K8" s="195"/>
      <c r="L8" s="195"/>
      <c r="M8" s="195"/>
      <c r="N8" s="195"/>
      <c r="O8" s="19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</row>
    <row r="9" spans="2:44" x14ac:dyDescent="0.2">
      <c r="B9" s="193" t="s">
        <v>149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</row>
    <row r="10" spans="2:44" x14ac:dyDescent="0.2">
      <c r="B10" s="12" t="s">
        <v>5</v>
      </c>
      <c r="C10" s="27"/>
      <c r="D10" s="195">
        <f>'Income Statement'!D10/'Income Statement'!D8</f>
        <v>0.56690369438639909</v>
      </c>
      <c r="E10" s="195">
        <f>'Income Statement'!E10/'Income Statement'!E8</f>
        <v>0.55868870422792438</v>
      </c>
      <c r="F10" s="195">
        <f>'Income Statement'!F10/'Income Statement'!F8</f>
        <v>0.53793650184766073</v>
      </c>
      <c r="G10" s="197">
        <v>0.53100000000000003</v>
      </c>
      <c r="H10" s="197">
        <v>0.53100000000000003</v>
      </c>
      <c r="I10" s="195">
        <v>0.52500000000000002</v>
      </c>
      <c r="J10" s="195">
        <v>0.51900000000000002</v>
      </c>
      <c r="K10" s="195">
        <v>0.51400000000000001</v>
      </c>
      <c r="L10" s="195">
        <v>0.50700000000000001</v>
      </c>
      <c r="M10" s="195">
        <v>0.501</v>
      </c>
      <c r="N10" s="195">
        <v>0.495</v>
      </c>
      <c r="O10" s="195">
        <v>0.48899999999999999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</row>
    <row r="11" spans="2:44" x14ac:dyDescent="0.2">
      <c r="B11" s="12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</row>
    <row r="12" spans="2:44" x14ac:dyDescent="0.2">
      <c r="B12" s="12" t="s">
        <v>87</v>
      </c>
      <c r="C12" s="27"/>
      <c r="D12" s="29">
        <v>6.7000000000000004E-2</v>
      </c>
      <c r="E12" s="29">
        <v>7.8E-2</v>
      </c>
      <c r="F12" s="29">
        <v>0.08</v>
      </c>
      <c r="G12" s="29">
        <v>0.08</v>
      </c>
      <c r="H12" s="29">
        <v>8.1000000000000003E-2</v>
      </c>
      <c r="I12" s="29">
        <v>8.2000000000000003E-2</v>
      </c>
      <c r="J12" s="29">
        <v>8.3000000000000004E-2</v>
      </c>
      <c r="K12" s="29">
        <v>8.4000000000000005E-2</v>
      </c>
      <c r="L12" s="29">
        <v>8.5000000000000006E-2</v>
      </c>
      <c r="M12" s="29">
        <v>8.5999999999999993E-2</v>
      </c>
      <c r="N12" s="29">
        <v>8.6999999999999994E-2</v>
      </c>
      <c r="O12" s="29">
        <v>8.7999999999999995E-2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</row>
    <row r="13" spans="2:44" x14ac:dyDescent="0.2">
      <c r="B13" s="12" t="s">
        <v>88</v>
      </c>
      <c r="C13" s="27"/>
      <c r="D13" s="29">
        <v>6.4000000000000001E-2</v>
      </c>
      <c r="E13" s="29">
        <v>6.5000000000000002E-2</v>
      </c>
      <c r="F13" s="29">
        <v>6.7000000000000004E-2</v>
      </c>
      <c r="G13" s="29">
        <v>6.6000000000000003E-2</v>
      </c>
      <c r="H13" s="29">
        <v>6.5000000000000002E-2</v>
      </c>
      <c r="I13" s="29">
        <f>'Income Statement'!I15/'Income Statement'!I8</f>
        <v>6.5000000000000002E-2</v>
      </c>
      <c r="J13" s="29">
        <f>'Income Statement'!J15/'Income Statement'!J8</f>
        <v>6.5000000000000002E-2</v>
      </c>
      <c r="K13" s="29">
        <f>'Income Statement'!K15/'Income Statement'!K8</f>
        <v>6.5000000000000002E-2</v>
      </c>
      <c r="L13" s="29">
        <f>'Income Statement'!L15/'Income Statement'!L8</f>
        <v>6.5000000000000002E-2</v>
      </c>
      <c r="M13" s="29">
        <f>'Income Statement'!M15/'Income Statement'!M8</f>
        <v>6.5000000000000002E-2</v>
      </c>
      <c r="N13" s="29">
        <f>'Income Statement'!N15/'Income Statement'!N8</f>
        <v>6.5000000000000002E-2</v>
      </c>
      <c r="O13" s="29">
        <f>'Income Statement'!O15/'Income Statement'!O8</f>
        <v>6.5000000000000002E-2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</row>
    <row r="14" spans="2:44" x14ac:dyDescent="0.2">
      <c r="B14" s="12"/>
      <c r="C14" s="27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</row>
    <row r="15" spans="2:44" x14ac:dyDescent="0.2">
      <c r="B15" s="193" t="s">
        <v>152</v>
      </c>
      <c r="C15" s="196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</row>
    <row r="16" spans="2:44" x14ac:dyDescent="0.2">
      <c r="B16" s="12" t="s">
        <v>89</v>
      </c>
      <c r="C16" s="27"/>
      <c r="D16" s="34">
        <v>-8.0000000000000004E-4</v>
      </c>
      <c r="E16" s="34">
        <v>-1.5E-3</v>
      </c>
      <c r="F16" s="34">
        <v>6.9999999999999999E-4</v>
      </c>
      <c r="G16" s="34">
        <v>-8.0000000000000004E-4</v>
      </c>
      <c r="H16" s="34">
        <v>-8.0000000000000004E-4</v>
      </c>
      <c r="I16" s="34">
        <v>-8.0000000000000004E-4</v>
      </c>
      <c r="J16" s="34">
        <v>-8.0000000000000004E-4</v>
      </c>
      <c r="K16" s="34">
        <v>-8.0000000000000004E-4</v>
      </c>
      <c r="L16" s="34">
        <v>-8.0000000000000004E-4</v>
      </c>
      <c r="M16" s="34">
        <v>-8.0000000000000004E-4</v>
      </c>
      <c r="N16" s="34">
        <v>-8.0000000000000004E-4</v>
      </c>
      <c r="O16" s="34">
        <v>-8.0000000000000004E-4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</row>
    <row r="17" spans="2:44" x14ac:dyDescent="0.2">
      <c r="B17" s="12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</row>
    <row r="18" spans="2:44" x14ac:dyDescent="0.2">
      <c r="B18" s="12" t="s">
        <v>90</v>
      </c>
      <c r="C18" s="27"/>
      <c r="D18" s="32">
        <v>0.16200000000000001</v>
      </c>
      <c r="E18" s="32">
        <v>0.14699999999999999</v>
      </c>
      <c r="F18" s="32">
        <v>0.24099999999999999</v>
      </c>
      <c r="G18" s="28">
        <v>0.156</v>
      </c>
      <c r="H18" s="28">
        <v>0.16</v>
      </c>
      <c r="I18" s="28">
        <v>0.16</v>
      </c>
      <c r="J18" s="28">
        <v>0.16</v>
      </c>
      <c r="K18" s="28">
        <v>0.16</v>
      </c>
      <c r="L18" s="28">
        <v>0.16</v>
      </c>
      <c r="M18" s="28">
        <v>0.16</v>
      </c>
      <c r="N18" s="28">
        <v>0.16</v>
      </c>
      <c r="O18" s="28">
        <v>0.16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</row>
    <row r="19" spans="2:44" x14ac:dyDescent="0.2">
      <c r="B19" s="12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2:44" x14ac:dyDescent="0.2">
      <c r="B20" s="193" t="s">
        <v>150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</row>
    <row r="21" spans="2:44" x14ac:dyDescent="0.2">
      <c r="B21" s="12" t="s">
        <v>125</v>
      </c>
      <c r="C21" s="27"/>
      <c r="D21" s="32">
        <v>2.7E-2</v>
      </c>
      <c r="E21" s="32">
        <v>2.9000000000000001E-2</v>
      </c>
      <c r="F21" s="32">
        <v>2.4E-2</v>
      </c>
      <c r="G21" s="32">
        <v>3.1E-2</v>
      </c>
      <c r="H21" s="32">
        <v>3.1E-2</v>
      </c>
      <c r="I21" s="32">
        <v>3.1E-2</v>
      </c>
      <c r="J21" s="32">
        <v>3.1E-2</v>
      </c>
      <c r="K21" s="32">
        <v>3.1E-2</v>
      </c>
      <c r="L21" s="32">
        <v>3.1E-2</v>
      </c>
      <c r="M21" s="32">
        <v>3.1E-2</v>
      </c>
      <c r="N21" s="32">
        <v>3.1E-2</v>
      </c>
      <c r="O21" s="32">
        <v>3.1E-2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</row>
    <row r="22" spans="2:44" x14ac:dyDescent="0.2">
      <c r="B22" s="12" t="s">
        <v>167</v>
      </c>
      <c r="C22" s="27"/>
      <c r="D22" s="197"/>
      <c r="E22" s="197"/>
      <c r="F22" s="197"/>
      <c r="G22" s="197"/>
      <c r="H22" s="32">
        <v>2.8000000000000001E-2</v>
      </c>
      <c r="I22" s="32">
        <v>2.8000000000000001E-2</v>
      </c>
      <c r="J22" s="32">
        <v>2.8000000000000001E-2</v>
      </c>
      <c r="K22" s="32">
        <v>2.8000000000000001E-2</v>
      </c>
      <c r="L22" s="32">
        <v>2.8000000000000001E-2</v>
      </c>
      <c r="M22" s="32">
        <v>2.8000000000000001E-2</v>
      </c>
      <c r="N22" s="32">
        <v>2.8000000000000001E-2</v>
      </c>
      <c r="O22" s="32">
        <v>2.8000000000000001E-2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</row>
    <row r="23" spans="2:44" x14ac:dyDescent="0.2">
      <c r="B23" s="12" t="s">
        <v>244</v>
      </c>
      <c r="C23" s="27"/>
      <c r="D23" s="197">
        <v>2.2100000000000002E-2</v>
      </c>
      <c r="E23" s="197">
        <v>2.2200000000000001E-2</v>
      </c>
      <c r="F23" s="197">
        <v>2.1000000000000001E-2</v>
      </c>
      <c r="G23" s="197">
        <v>1.9199999999999998E-2</v>
      </c>
      <c r="H23" s="32">
        <v>1.9E-2</v>
      </c>
      <c r="I23" s="32">
        <v>1.9E-2</v>
      </c>
      <c r="J23" s="32">
        <v>1.9E-2</v>
      </c>
      <c r="K23" s="32">
        <v>1.9E-2</v>
      </c>
      <c r="L23" s="32">
        <v>1.9E-2</v>
      </c>
      <c r="M23" s="32">
        <v>1.9E-2</v>
      </c>
      <c r="N23" s="32">
        <v>1.9E-2</v>
      </c>
      <c r="O23" s="32">
        <v>1.9E-2</v>
      </c>
      <c r="P23" s="14" t="s">
        <v>245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</row>
    <row r="24" spans="2:44" x14ac:dyDescent="0.2">
      <c r="B24" s="12" t="s">
        <v>126</v>
      </c>
      <c r="C24" s="27"/>
      <c r="D24" s="27">
        <v>27</v>
      </c>
      <c r="E24" s="27">
        <v>28</v>
      </c>
      <c r="F24" s="27">
        <v>31</v>
      </c>
      <c r="G24" s="27">
        <v>35</v>
      </c>
      <c r="H24" s="27">
        <v>35</v>
      </c>
      <c r="I24" s="27">
        <v>35</v>
      </c>
      <c r="J24" s="27">
        <v>35</v>
      </c>
      <c r="K24" s="27">
        <v>35</v>
      </c>
      <c r="L24" s="27">
        <v>35</v>
      </c>
      <c r="M24" s="27">
        <v>35</v>
      </c>
      <c r="N24" s="27">
        <v>35</v>
      </c>
      <c r="O24" s="27">
        <v>35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</row>
    <row r="25" spans="2:44" x14ac:dyDescent="0.2">
      <c r="B25" s="12" t="s">
        <v>127</v>
      </c>
      <c r="C25" s="27"/>
      <c r="D25" s="27">
        <v>9</v>
      </c>
      <c r="E25" s="27">
        <v>8</v>
      </c>
      <c r="F25" s="27">
        <v>13</v>
      </c>
      <c r="G25" s="27">
        <v>9</v>
      </c>
      <c r="H25" s="27">
        <v>9</v>
      </c>
      <c r="I25" s="27">
        <v>9</v>
      </c>
      <c r="J25" s="27">
        <v>9</v>
      </c>
      <c r="K25" s="27">
        <v>9</v>
      </c>
      <c r="L25" s="27">
        <v>9</v>
      </c>
      <c r="M25" s="27">
        <v>9</v>
      </c>
      <c r="N25" s="27">
        <v>9</v>
      </c>
      <c r="O25" s="27">
        <v>9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</row>
    <row r="26" spans="2:44" x14ac:dyDescent="0.2">
      <c r="B26" s="12" t="s">
        <v>128</v>
      </c>
      <c r="C26" s="27"/>
      <c r="D26" s="27">
        <v>107</v>
      </c>
      <c r="E26" s="27">
        <v>109</v>
      </c>
      <c r="F26" s="27">
        <v>120</v>
      </c>
      <c r="G26" s="27">
        <v>115</v>
      </c>
      <c r="H26" s="27">
        <v>115</v>
      </c>
      <c r="I26" s="27">
        <v>115</v>
      </c>
      <c r="J26" s="27">
        <v>115</v>
      </c>
      <c r="K26" s="27">
        <v>115</v>
      </c>
      <c r="L26" s="27">
        <v>115</v>
      </c>
      <c r="M26" s="27">
        <v>115</v>
      </c>
      <c r="N26" s="27">
        <v>115</v>
      </c>
      <c r="O26" s="27">
        <v>115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</row>
    <row r="27" spans="2:44" x14ac:dyDescent="0.2">
      <c r="B27" s="12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</row>
    <row r="28" spans="2:44" x14ac:dyDescent="0.2">
      <c r="B28" s="193" t="s">
        <v>151</v>
      </c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</row>
    <row r="29" spans="2:44" x14ac:dyDescent="0.2">
      <c r="B29" s="12" t="s">
        <v>91</v>
      </c>
      <c r="C29" s="27"/>
      <c r="D29" s="27"/>
      <c r="E29" s="27"/>
      <c r="F29" s="27"/>
      <c r="G29" s="27"/>
      <c r="H29" s="197">
        <v>0.03</v>
      </c>
      <c r="I29" s="197">
        <v>0.03</v>
      </c>
      <c r="J29" s="197">
        <v>0.03</v>
      </c>
      <c r="K29" s="197">
        <v>0.03</v>
      </c>
      <c r="L29" s="197">
        <v>0.03</v>
      </c>
      <c r="M29" s="197">
        <v>0.03</v>
      </c>
      <c r="N29" s="197">
        <v>0.03</v>
      </c>
      <c r="O29" s="197">
        <v>0.03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</row>
    <row r="30" spans="2:44" x14ac:dyDescent="0.2">
      <c r="B30" s="12" t="s">
        <v>137</v>
      </c>
      <c r="C30" s="27"/>
      <c r="D30" s="27"/>
      <c r="E30" s="27"/>
      <c r="F30" s="27"/>
      <c r="G30" s="27"/>
      <c r="H30" s="28">
        <v>7.0000000000000001E-3</v>
      </c>
      <c r="I30" s="28">
        <v>7.0000000000000001E-3</v>
      </c>
      <c r="J30" s="28">
        <v>7.0000000000000001E-3</v>
      </c>
      <c r="K30" s="28">
        <v>7.0000000000000001E-3</v>
      </c>
      <c r="L30" s="28">
        <v>7.0000000000000001E-3</v>
      </c>
      <c r="M30" s="28">
        <v>7.0000000000000001E-3</v>
      </c>
      <c r="N30" s="28">
        <v>7.0000000000000001E-3</v>
      </c>
      <c r="O30" s="28">
        <v>7.0000000000000001E-3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</row>
    <row r="31" spans="2:44" x14ac:dyDescent="0.2">
      <c r="B31" s="12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</row>
    <row r="32" spans="2:44" x14ac:dyDescent="0.2">
      <c r="B32" s="193" t="s">
        <v>164</v>
      </c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</row>
    <row r="33" spans="2:44" x14ac:dyDescent="0.2">
      <c r="B33" s="12" t="s">
        <v>92</v>
      </c>
      <c r="C33" s="27"/>
      <c r="D33" s="29">
        <f>'Income Statement'!D11/'Income Statement'!D8</f>
        <v>0.43309630561360085</v>
      </c>
      <c r="E33" s="29">
        <f>'Income Statement'!E11/'Income Statement'!E8</f>
        <v>0.44131129577207562</v>
      </c>
      <c r="F33" s="29">
        <f>'Income Statement'!F11/'Income Statement'!F8</f>
        <v>0.46206349815233932</v>
      </c>
      <c r="G33" s="29">
        <f>'Income Statement'!G11/'Income Statement'!G8</f>
        <v>0.46905164107160452</v>
      </c>
      <c r="H33" s="29">
        <f>'Income Statement'!H11/'Income Statement'!H8</f>
        <v>0.46899999999999997</v>
      </c>
      <c r="I33" s="29">
        <f>'Income Statement'!I11/'Income Statement'!I8</f>
        <v>0.47499999999999998</v>
      </c>
      <c r="J33" s="29">
        <f>'Income Statement'!J11/'Income Statement'!J8</f>
        <v>0.48099999999999998</v>
      </c>
      <c r="K33" s="29">
        <f>'Income Statement'!K11/'Income Statement'!K8</f>
        <v>0.48599999999999993</v>
      </c>
      <c r="L33" s="29">
        <f>'Income Statement'!L11/'Income Statement'!L8</f>
        <v>0.49299999999999999</v>
      </c>
      <c r="M33" s="29">
        <f>'Income Statement'!M11/'Income Statement'!M8</f>
        <v>0.499</v>
      </c>
      <c r="N33" s="29">
        <f>'Income Statement'!N11/'Income Statement'!N8</f>
        <v>0.505</v>
      </c>
      <c r="O33" s="29">
        <f>'Income Statement'!O11/'Income Statement'!O8</f>
        <v>0.51100000000000001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</row>
    <row r="34" spans="2:44" x14ac:dyDescent="0.2">
      <c r="B34" s="12" t="s">
        <v>139</v>
      </c>
      <c r="C34" s="27"/>
      <c r="D34" s="29">
        <f>'Income Statement'!D18/'Income Statement'!D8</f>
        <v>0.30288744395528594</v>
      </c>
      <c r="E34" s="29">
        <f>'Income Statement'!E18/'Income Statement'!E8</f>
        <v>0.29821412265024722</v>
      </c>
      <c r="F34" s="29">
        <f>'Income Statement'!F18/'Income Statement'!F8</f>
        <v>0.31510222870075566</v>
      </c>
      <c r="G34" s="29">
        <f>'Income Statement'!G18/'Income Statement'!G8</f>
        <v>0.31970799762591884</v>
      </c>
      <c r="H34" s="29">
        <f>'Income Statement'!H18/'Income Statement'!H8</f>
        <v>0.32300000000000001</v>
      </c>
      <c r="I34" s="29">
        <f>'Income Statement'!I18/'Income Statement'!I8</f>
        <v>0.32899999999999996</v>
      </c>
      <c r="J34" s="29">
        <f>'Income Statement'!J18/'Income Statement'!J8</f>
        <v>0.33399999999999991</v>
      </c>
      <c r="K34" s="29">
        <f>'Income Statement'!K18/'Income Statement'!K8</f>
        <v>0.33799999999999991</v>
      </c>
      <c r="L34" s="29">
        <f>'Income Statement'!L18/'Income Statement'!L8</f>
        <v>0.34399999999999997</v>
      </c>
      <c r="M34" s="29">
        <f>'Income Statement'!M18/'Income Statement'!M8</f>
        <v>0.34900000000000003</v>
      </c>
      <c r="N34" s="29">
        <f>'Income Statement'!N18/'Income Statement'!N8</f>
        <v>0.35399999999999998</v>
      </c>
      <c r="O34" s="29">
        <f>'Income Statement'!O18/'Income Statement'!O8</f>
        <v>0.35899999999999999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</row>
    <row r="35" spans="2:44" x14ac:dyDescent="0.2">
      <c r="B35" s="52" t="s">
        <v>142</v>
      </c>
      <c r="C35" s="27"/>
      <c r="D35" s="29">
        <f>'Income Statement'!D22/'Income Statement'!D8</f>
        <v>0.25309640705199732</v>
      </c>
      <c r="E35" s="29">
        <f>'Income Statement'!E22/'Income Statement'!E8</f>
        <v>0.25306234264320282</v>
      </c>
      <c r="F35" s="29">
        <f>'Income Statement'!F22/'Income Statement'!F8</f>
        <v>0.23971255769943867</v>
      </c>
      <c r="G35" s="29">
        <f>'Income Statement'!G22/'Income Statement'!G8</f>
        <v>0.26915064121818238</v>
      </c>
      <c r="H35" s="29">
        <f>'Income Statement'!H22/'Income Statement'!H8</f>
        <v>0.270648</v>
      </c>
      <c r="I35" s="29">
        <f>'Income Statement'!I22/'Income Statement'!I8</f>
        <v>0.27568799999999999</v>
      </c>
      <c r="J35" s="29">
        <f>'Income Statement'!J22/'Income Statement'!J8</f>
        <v>0.27988799999999991</v>
      </c>
      <c r="K35" s="29">
        <f>'Income Statement'!K22/'Income Statement'!K8</f>
        <v>0.28324799999999994</v>
      </c>
      <c r="L35" s="29">
        <f>'Income Statement'!L22/'Income Statement'!L8</f>
        <v>0.28828799999999993</v>
      </c>
      <c r="M35" s="29">
        <f>'Income Statement'!M22/'Income Statement'!M8</f>
        <v>0.29248800000000003</v>
      </c>
      <c r="N35" s="29">
        <f>'Income Statement'!N22/'Income Statement'!N8</f>
        <v>0.29668799999999995</v>
      </c>
      <c r="O35" s="29">
        <f>'Income Statement'!O22/'Income Statement'!O8</f>
        <v>0.30088799999999993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</row>
    <row r="36" spans="2:44" x14ac:dyDescent="0.2">
      <c r="B36" s="12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</row>
    <row r="37" spans="2:44" x14ac:dyDescent="0.2">
      <c r="B37" s="193" t="s">
        <v>165</v>
      </c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</row>
    <row r="38" spans="2:44" x14ac:dyDescent="0.2">
      <c r="B38" s="52" t="s">
        <v>61</v>
      </c>
      <c r="C38" s="27"/>
      <c r="D38" s="197">
        <v>-0.02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</row>
    <row r="39" spans="2:44" x14ac:dyDescent="0.2">
      <c r="B39" s="52" t="s">
        <v>62</v>
      </c>
      <c r="C39" s="27"/>
      <c r="D39" s="32">
        <v>5.0000000000000001E-3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</row>
    <row r="40" spans="2:44" x14ac:dyDescent="0.2">
      <c r="B40" s="52" t="s">
        <v>64</v>
      </c>
      <c r="C40" s="27"/>
      <c r="D40" s="32">
        <v>0.02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</row>
    <row r="41" spans="2:44" x14ac:dyDescent="0.2">
      <c r="B41" s="52" t="s">
        <v>66</v>
      </c>
      <c r="C41" s="27"/>
      <c r="D41" s="32">
        <v>1.4999999999999999E-2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</row>
    <row r="42" spans="2:44" x14ac:dyDescent="0.2">
      <c r="B42" s="52" t="s">
        <v>70</v>
      </c>
      <c r="C42" s="27"/>
      <c r="D42" s="32">
        <v>0.02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</row>
    <row r="43" spans="2:44" x14ac:dyDescent="0.2">
      <c r="B43" s="52" t="s">
        <v>71</v>
      </c>
      <c r="C43" s="27"/>
      <c r="D43" s="32">
        <v>0.1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</row>
    <row r="44" spans="2:44" x14ac:dyDescent="0.2">
      <c r="B44" s="52" t="s">
        <v>166</v>
      </c>
      <c r="C44" s="27"/>
      <c r="D44" s="200"/>
      <c r="E44" s="27"/>
      <c r="F44" s="27"/>
      <c r="G44" s="27">
        <v>15413</v>
      </c>
      <c r="H44" s="108">
        <f>G44*(1+H45)</f>
        <v>16029.52</v>
      </c>
      <c r="I44" s="108">
        <f t="shared" ref="I44:O44" si="1">H44*(1+I45)</f>
        <v>16670.700800000002</v>
      </c>
      <c r="J44" s="108">
        <f t="shared" si="1"/>
        <v>17337.528832000004</v>
      </c>
      <c r="K44" s="108">
        <f t="shared" si="1"/>
        <v>18031.029985280005</v>
      </c>
      <c r="L44" s="108">
        <f t="shared" si="1"/>
        <v>18752.271184691206</v>
      </c>
      <c r="M44" s="108">
        <f t="shared" si="1"/>
        <v>19502.362032078854</v>
      </c>
      <c r="N44" s="108">
        <f t="shared" si="1"/>
        <v>20282.456513362009</v>
      </c>
      <c r="O44" s="108">
        <f t="shared" si="1"/>
        <v>21093.754773896489</v>
      </c>
      <c r="P44" s="49" t="s">
        <v>183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</row>
    <row r="45" spans="2:44" x14ac:dyDescent="0.2">
      <c r="B45" s="52" t="s">
        <v>168</v>
      </c>
      <c r="C45" s="27"/>
      <c r="D45" s="200"/>
      <c r="E45" s="27"/>
      <c r="F45" s="27"/>
      <c r="G45" s="27"/>
      <c r="H45" s="197">
        <v>0.04</v>
      </c>
      <c r="I45" s="197">
        <v>0.04</v>
      </c>
      <c r="J45" s="197">
        <v>0.04</v>
      </c>
      <c r="K45" s="197">
        <v>0.04</v>
      </c>
      <c r="L45" s="197">
        <v>0.04</v>
      </c>
      <c r="M45" s="197">
        <v>0.04</v>
      </c>
      <c r="N45" s="197">
        <v>0.04</v>
      </c>
      <c r="O45" s="197">
        <v>0.04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</row>
    <row r="46" spans="2:44" x14ac:dyDescent="0.2">
      <c r="B46" s="52" t="s">
        <v>180</v>
      </c>
      <c r="C46" s="27"/>
      <c r="D46" s="108">
        <v>89402</v>
      </c>
      <c r="E46" s="108">
        <v>77550</v>
      </c>
      <c r="F46" s="108">
        <v>94949</v>
      </c>
      <c r="G46" s="27">
        <v>90711</v>
      </c>
      <c r="H46" s="108">
        <v>89300</v>
      </c>
      <c r="I46" s="108">
        <v>85000</v>
      </c>
      <c r="J46" s="108">
        <v>80000</v>
      </c>
      <c r="K46" s="108">
        <v>75000</v>
      </c>
      <c r="L46" s="108">
        <v>70000</v>
      </c>
      <c r="M46" s="108">
        <v>65000</v>
      </c>
      <c r="N46" s="108">
        <v>60000</v>
      </c>
      <c r="O46" s="108">
        <v>55000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</row>
    <row r="47" spans="2:44" x14ac:dyDescent="0.2">
      <c r="B47" s="52" t="s">
        <v>246</v>
      </c>
      <c r="C47" s="27"/>
      <c r="D47" s="31">
        <f>-D46*1000/Schedules!D61</f>
        <v>157.23483922481793</v>
      </c>
      <c r="E47" s="31">
        <f>-E46*1000/Schedules!E61</f>
        <v>164.50333991629526</v>
      </c>
      <c r="F47" s="31">
        <f>-F46*1000/Schedules!F61</f>
        <v>190.13681183566558</v>
      </c>
      <c r="G47" s="31">
        <f>-G46*1000/Schedules!G61</f>
        <v>225.83351590352328</v>
      </c>
      <c r="H47" s="31">
        <f>G47*(1+0.1)</f>
        <v>248.41686749387563</v>
      </c>
      <c r="I47" s="31">
        <f t="shared" ref="I47:O47" si="2">H47*(1+0.1)</f>
        <v>273.25855424326323</v>
      </c>
      <c r="J47" s="31">
        <f t="shared" si="2"/>
        <v>300.58440966758957</v>
      </c>
      <c r="K47" s="31">
        <f t="shared" si="2"/>
        <v>330.64285063434858</v>
      </c>
      <c r="L47" s="31">
        <f t="shared" si="2"/>
        <v>363.70713569778349</v>
      </c>
      <c r="M47" s="31">
        <f t="shared" si="2"/>
        <v>400.07784926756187</v>
      </c>
      <c r="N47" s="31">
        <f t="shared" si="2"/>
        <v>440.08563419431812</v>
      </c>
      <c r="O47" s="31">
        <f t="shared" si="2"/>
        <v>484.09419761374994</v>
      </c>
      <c r="P47" s="105" t="s">
        <v>247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</row>
    <row r="48" spans="2:44" x14ac:dyDescent="0.2">
      <c r="B48" s="52" t="s">
        <v>181</v>
      </c>
      <c r="C48" s="27"/>
      <c r="D48" s="200"/>
      <c r="E48" s="27"/>
      <c r="F48" s="27"/>
      <c r="G48" s="32">
        <v>3.1E-2</v>
      </c>
      <c r="H48" s="32">
        <v>3.1E-2</v>
      </c>
      <c r="I48" s="32">
        <v>3.1E-2</v>
      </c>
      <c r="J48" s="32">
        <v>3.1E-2</v>
      </c>
      <c r="K48" s="32">
        <v>3.1E-2</v>
      </c>
      <c r="L48" s="32">
        <v>3.1E-2</v>
      </c>
      <c r="M48" s="32">
        <v>3.1E-2</v>
      </c>
      <c r="N48" s="32">
        <v>3.1E-2</v>
      </c>
      <c r="O48" s="32">
        <v>3.1E-2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</row>
    <row r="49" spans="2:44" x14ac:dyDescent="0.2">
      <c r="B49" s="52" t="s">
        <v>182</v>
      </c>
      <c r="C49" s="27"/>
      <c r="D49" s="200"/>
      <c r="E49" s="27"/>
      <c r="F49" s="27"/>
      <c r="G49" s="32">
        <v>1.43E-2</v>
      </c>
      <c r="H49" s="32">
        <v>1.43E-2</v>
      </c>
      <c r="I49" s="32">
        <v>1.43E-2</v>
      </c>
      <c r="J49" s="32">
        <v>1.43E-2</v>
      </c>
      <c r="K49" s="32">
        <v>1.43E-2</v>
      </c>
      <c r="L49" s="32">
        <v>1.43E-2</v>
      </c>
      <c r="M49" s="32">
        <v>1.43E-2</v>
      </c>
      <c r="N49" s="32">
        <v>1.43E-2</v>
      </c>
      <c r="O49" s="32">
        <v>1.43E-2</v>
      </c>
      <c r="P49" s="49" t="s">
        <v>184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</row>
    <row r="50" spans="2:44" x14ac:dyDescent="0.2">
      <c r="B50" s="52"/>
      <c r="C50" s="27"/>
      <c r="D50" s="200"/>
      <c r="E50" s="27"/>
      <c r="F50" s="27"/>
      <c r="G50" s="27"/>
      <c r="H50" s="108"/>
      <c r="I50" s="108"/>
      <c r="J50" s="108"/>
      <c r="K50" s="108"/>
      <c r="L50" s="108"/>
      <c r="M50" s="108"/>
      <c r="N50" s="108"/>
      <c r="O50" s="108"/>
      <c r="P50" s="49" t="s">
        <v>185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</row>
    <row r="51" spans="2:44" x14ac:dyDescent="0.2">
      <c r="B51" s="52"/>
      <c r="C51" s="27"/>
      <c r="D51" s="200"/>
      <c r="E51" s="27"/>
      <c r="F51" s="27"/>
      <c r="G51" s="27"/>
      <c r="H51" s="108"/>
      <c r="I51" s="108"/>
      <c r="J51" s="108"/>
      <c r="K51" s="108"/>
      <c r="L51" s="108"/>
      <c r="M51" s="108"/>
      <c r="N51" s="108"/>
      <c r="O51" s="108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</row>
    <row r="52" spans="2:44" x14ac:dyDescent="0.2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</row>
    <row r="53" spans="2:44" ht="24" x14ac:dyDescent="0.3">
      <c r="B53" s="98" t="s">
        <v>21</v>
      </c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</row>
    <row r="54" spans="2:44" ht="19" x14ac:dyDescent="0.25">
      <c r="B54" s="201" t="s">
        <v>22</v>
      </c>
      <c r="C54" s="202"/>
      <c r="D54" s="202"/>
      <c r="E54" s="202"/>
      <c r="F54" s="202"/>
      <c r="G54" s="202"/>
      <c r="H54" s="203"/>
      <c r="I54" s="203"/>
      <c r="J54" s="203"/>
      <c r="K54" s="203"/>
      <c r="L54" s="203"/>
      <c r="M54" s="203"/>
      <c r="N54" s="203"/>
      <c r="O54" s="203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</row>
    <row r="55" spans="2:44" x14ac:dyDescent="0.2">
      <c r="B55" s="202" t="s">
        <v>48</v>
      </c>
      <c r="C55" s="202"/>
      <c r="D55" s="202"/>
      <c r="E55" s="202"/>
      <c r="F55" s="202"/>
      <c r="G55" s="202"/>
      <c r="H55" s="204">
        <v>4.4999999999999998E-2</v>
      </c>
      <c r="I55" s="204">
        <v>3.5000000000000003E-2</v>
      </c>
      <c r="J55" s="204">
        <v>0.03</v>
      </c>
      <c r="K55" s="204">
        <v>0.03</v>
      </c>
      <c r="L55" s="204">
        <v>2.5000000000000001E-2</v>
      </c>
      <c r="M55" s="204">
        <v>2.5000000000000001E-2</v>
      </c>
      <c r="N55" s="204">
        <v>0.02</v>
      </c>
      <c r="O55" s="204">
        <v>0.02</v>
      </c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</row>
    <row r="56" spans="2:44" x14ac:dyDescent="0.2">
      <c r="B56" s="202" t="s">
        <v>49</v>
      </c>
      <c r="C56" s="202"/>
      <c r="D56" s="202"/>
      <c r="E56" s="202"/>
      <c r="F56" s="202"/>
      <c r="G56" s="202"/>
      <c r="H56" s="204">
        <v>0.09</v>
      </c>
      <c r="I56" s="204">
        <v>0.08</v>
      </c>
      <c r="J56" s="204">
        <v>7.0000000000000007E-2</v>
      </c>
      <c r="K56" s="204">
        <v>5.5E-2</v>
      </c>
      <c r="L56" s="204">
        <v>4.4999999999999998E-2</v>
      </c>
      <c r="M56" s="204">
        <v>0.04</v>
      </c>
      <c r="N56" s="204">
        <v>3.5000000000000003E-2</v>
      </c>
      <c r="O56" s="204">
        <v>0.03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</row>
    <row r="57" spans="2:44" x14ac:dyDescent="0.2">
      <c r="B57" s="202" t="s">
        <v>50</v>
      </c>
      <c r="C57" s="202"/>
      <c r="D57" s="202"/>
      <c r="E57" s="202"/>
      <c r="F57" s="202"/>
      <c r="G57" s="202"/>
      <c r="H57" s="204">
        <v>0.06</v>
      </c>
      <c r="I57" s="204">
        <v>0.05</v>
      </c>
      <c r="J57" s="204">
        <v>0.04</v>
      </c>
      <c r="K57" s="204">
        <v>2.5000000000000001E-2</v>
      </c>
      <c r="L57" s="204">
        <v>1.4999999999999999E-2</v>
      </c>
      <c r="M57" s="204">
        <v>1.2E-2</v>
      </c>
      <c r="N57" s="204">
        <v>0.01</v>
      </c>
      <c r="O57" s="204">
        <v>0.01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</row>
    <row r="58" spans="2:44" x14ac:dyDescent="0.2">
      <c r="B58" s="202" t="s">
        <v>97</v>
      </c>
      <c r="C58" s="202"/>
      <c r="D58" s="202"/>
      <c r="E58" s="202"/>
      <c r="F58" s="202"/>
      <c r="G58" s="202"/>
      <c r="H58" s="204">
        <v>2.5000000000000001E-2</v>
      </c>
      <c r="I58" s="204">
        <v>3.5000000000000003E-2</v>
      </c>
      <c r="J58" s="204">
        <v>0.05</v>
      </c>
      <c r="K58" s="204">
        <v>0.05</v>
      </c>
      <c r="L58" s="204">
        <v>4.4999999999999998E-2</v>
      </c>
      <c r="M58" s="204">
        <v>0.04</v>
      </c>
      <c r="N58" s="204">
        <v>0.04</v>
      </c>
      <c r="O58" s="204">
        <v>0.04</v>
      </c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</row>
    <row r="59" spans="2:44" x14ac:dyDescent="0.2">
      <c r="B59" s="202" t="s">
        <v>51</v>
      </c>
      <c r="C59" s="202"/>
      <c r="D59" s="202"/>
      <c r="E59" s="202"/>
      <c r="F59" s="202"/>
      <c r="G59" s="202"/>
      <c r="H59" s="204">
        <v>0.16</v>
      </c>
      <c r="I59" s="204">
        <v>0.15</v>
      </c>
      <c r="J59" s="204">
        <v>0.14000000000000001</v>
      </c>
      <c r="K59" s="204">
        <v>0.13</v>
      </c>
      <c r="L59" s="204">
        <v>0.12</v>
      </c>
      <c r="M59" s="204">
        <v>0.11</v>
      </c>
      <c r="N59" s="204">
        <v>0.1</v>
      </c>
      <c r="O59" s="204">
        <v>0.09</v>
      </c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</row>
    <row r="60" spans="2:44" x14ac:dyDescent="0.2">
      <c r="B60" s="202" t="s">
        <v>308</v>
      </c>
      <c r="C60" s="202"/>
      <c r="D60" s="202"/>
      <c r="E60" s="202"/>
      <c r="F60" s="202"/>
      <c r="G60" s="202"/>
      <c r="H60" s="203"/>
      <c r="I60" s="203"/>
      <c r="J60" s="203"/>
      <c r="K60" s="203"/>
      <c r="L60" s="203"/>
      <c r="M60" s="203"/>
      <c r="N60" s="203"/>
      <c r="O60" s="203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</row>
    <row r="61" spans="2:44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</row>
    <row r="62" spans="2:44" ht="19" x14ac:dyDescent="0.25">
      <c r="B62" s="205" t="s">
        <v>23</v>
      </c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</row>
    <row r="63" spans="2:44" x14ac:dyDescent="0.2">
      <c r="B63" s="206" t="s">
        <v>48</v>
      </c>
      <c r="C63" s="194"/>
      <c r="D63" s="194"/>
      <c r="E63" s="194"/>
      <c r="F63" s="194"/>
      <c r="G63" s="194"/>
      <c r="H63" s="207">
        <f>'Revenue Build'!H12</f>
        <v>4.4999999999999998E-2</v>
      </c>
      <c r="I63" s="207">
        <f>'Revenue Build'!I12</f>
        <v>2.5000000000000001E-2</v>
      </c>
      <c r="J63" s="207">
        <f>'Revenue Build'!J12</f>
        <v>2.5000000000000001E-2</v>
      </c>
      <c r="K63" s="207">
        <f>'Revenue Build'!K12</f>
        <v>0.02</v>
      </c>
      <c r="L63" s="207">
        <f>'Revenue Build'!L12</f>
        <v>0.02</v>
      </c>
      <c r="M63" s="207">
        <f>'Revenue Build'!M12</f>
        <v>1.4999999999999999E-2</v>
      </c>
      <c r="N63" s="207">
        <f>'Revenue Build'!N12</f>
        <v>1.4999999999999999E-2</v>
      </c>
      <c r="O63" s="207">
        <f>'Revenue Build'!O12</f>
        <v>1.4999999999999999E-2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</row>
    <row r="64" spans="2:44" x14ac:dyDescent="0.2">
      <c r="B64" s="206" t="s">
        <v>49</v>
      </c>
      <c r="C64" s="194"/>
      <c r="D64" s="194"/>
      <c r="E64" s="194"/>
      <c r="F64" s="194"/>
      <c r="G64" s="194"/>
      <c r="H64" s="207">
        <f>'Revenue Build'!H13</f>
        <v>0.06</v>
      </c>
      <c r="I64" s="207">
        <f>'Revenue Build'!I13</f>
        <v>0.05</v>
      </c>
      <c r="J64" s="207">
        <f>'Revenue Build'!J13</f>
        <v>0.04</v>
      </c>
      <c r="K64" s="207">
        <f>'Revenue Build'!K13</f>
        <v>3.5000000000000003E-2</v>
      </c>
      <c r="L64" s="207">
        <f>'Revenue Build'!L13</f>
        <v>0.03</v>
      </c>
      <c r="M64" s="207">
        <f>'Revenue Build'!M13</f>
        <v>0.03</v>
      </c>
      <c r="N64" s="207">
        <f>'Revenue Build'!N13</f>
        <v>2.5000000000000001E-2</v>
      </c>
      <c r="O64" s="207">
        <f>'Revenue Build'!O13</f>
        <v>2.5000000000000001E-2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</row>
    <row r="65" spans="2:44" x14ac:dyDescent="0.2">
      <c r="B65" s="206" t="s">
        <v>50</v>
      </c>
      <c r="C65" s="194"/>
      <c r="D65" s="194"/>
      <c r="E65" s="194"/>
      <c r="F65" s="194"/>
      <c r="G65" s="194"/>
      <c r="H65" s="207">
        <f>'Revenue Build'!H14</f>
        <v>0.03</v>
      </c>
      <c r="I65" s="207">
        <f>'Revenue Build'!I14</f>
        <v>0.02</v>
      </c>
      <c r="J65" s="207">
        <f>'Revenue Build'!J14</f>
        <v>1.4999999999999999E-2</v>
      </c>
      <c r="K65" s="207">
        <f>'Revenue Build'!K14</f>
        <v>0.01</v>
      </c>
      <c r="L65" s="207">
        <f>'Revenue Build'!L14</f>
        <v>0.01</v>
      </c>
      <c r="M65" s="207">
        <f>'Revenue Build'!M14</f>
        <v>5.0000000000000001E-3</v>
      </c>
      <c r="N65" s="207">
        <f>'Revenue Build'!N14</f>
        <v>5.0000000000000001E-3</v>
      </c>
      <c r="O65" s="207">
        <f>'Revenue Build'!O14</f>
        <v>5.0000000000000001E-3</v>
      </c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</row>
    <row r="66" spans="2:44" x14ac:dyDescent="0.2">
      <c r="B66" s="206" t="s">
        <v>97</v>
      </c>
      <c r="C66" s="194"/>
      <c r="D66" s="194"/>
      <c r="E66" s="194"/>
      <c r="F66" s="194"/>
      <c r="G66" s="194"/>
      <c r="H66" s="207">
        <f>'Revenue Build'!H15</f>
        <v>0.01</v>
      </c>
      <c r="I66" s="207">
        <f>'Revenue Build'!I15</f>
        <v>0.02</v>
      </c>
      <c r="J66" s="207">
        <f>'Revenue Build'!J15</f>
        <v>0.03</v>
      </c>
      <c r="K66" s="207">
        <f>'Revenue Build'!K15</f>
        <v>0.03</v>
      </c>
      <c r="L66" s="207">
        <f>'Revenue Build'!L15</f>
        <v>0.03</v>
      </c>
      <c r="M66" s="207">
        <f>'Revenue Build'!M15</f>
        <v>0.03</v>
      </c>
      <c r="N66" s="207">
        <f>'Revenue Build'!N15</f>
        <v>0.03</v>
      </c>
      <c r="O66" s="207">
        <f>'Revenue Build'!O15</f>
        <v>0.03</v>
      </c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</row>
    <row r="67" spans="2:44" x14ac:dyDescent="0.2">
      <c r="B67" s="206" t="s">
        <v>51</v>
      </c>
      <c r="C67" s="194"/>
      <c r="D67" s="194"/>
      <c r="E67" s="194"/>
      <c r="F67" s="194"/>
      <c r="G67" s="194"/>
      <c r="H67" s="207">
        <f>'Revenue Build'!H16</f>
        <v>0.14000000000000001</v>
      </c>
      <c r="I67" s="207">
        <f>'Revenue Build'!I16</f>
        <v>0.13</v>
      </c>
      <c r="J67" s="207">
        <f>'Revenue Build'!J16</f>
        <v>0.12</v>
      </c>
      <c r="K67" s="207">
        <f>'Revenue Build'!K16</f>
        <v>0.11</v>
      </c>
      <c r="L67" s="207">
        <f>'Revenue Build'!L16</f>
        <v>0.1</v>
      </c>
      <c r="M67" s="207">
        <f>'Revenue Build'!M16</f>
        <v>0.09</v>
      </c>
      <c r="N67" s="207">
        <f>'Revenue Build'!N16</f>
        <v>0.09</v>
      </c>
      <c r="O67" s="207">
        <f>'Revenue Build'!O16</f>
        <v>0.08</v>
      </c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</row>
    <row r="68" spans="2:44" x14ac:dyDescent="0.2"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</row>
    <row r="69" spans="2:44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</row>
    <row r="70" spans="2:44" ht="19" x14ac:dyDescent="0.25">
      <c r="B70" s="208" t="s">
        <v>24</v>
      </c>
      <c r="C70" s="209"/>
      <c r="D70" s="209"/>
      <c r="E70" s="209"/>
      <c r="F70" s="209"/>
      <c r="G70" s="209"/>
      <c r="H70" s="209"/>
      <c r="I70" s="209"/>
      <c r="J70" s="209"/>
      <c r="K70" s="209"/>
      <c r="L70" s="209"/>
      <c r="M70" s="209"/>
      <c r="N70" s="210"/>
      <c r="O70" s="211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</row>
    <row r="71" spans="2:44" x14ac:dyDescent="0.2">
      <c r="B71" s="212" t="s">
        <v>48</v>
      </c>
      <c r="C71" s="209"/>
      <c r="D71" s="209"/>
      <c r="E71" s="209"/>
      <c r="F71" s="209"/>
      <c r="G71" s="209"/>
      <c r="H71" s="213">
        <v>0.01</v>
      </c>
      <c r="I71" s="213">
        <v>0.01</v>
      </c>
      <c r="J71" s="213">
        <v>0.01</v>
      </c>
      <c r="K71" s="213">
        <v>5.0000000000000001E-3</v>
      </c>
      <c r="L71" s="213">
        <v>5.0000000000000001E-3</v>
      </c>
      <c r="M71" s="213">
        <v>5.0000000000000001E-3</v>
      </c>
      <c r="N71" s="210"/>
      <c r="O71" s="211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</row>
    <row r="72" spans="2:44" x14ac:dyDescent="0.2">
      <c r="B72" s="212" t="s">
        <v>49</v>
      </c>
      <c r="C72" s="209"/>
      <c r="D72" s="209"/>
      <c r="E72" s="209"/>
      <c r="F72" s="209"/>
      <c r="G72" s="209"/>
      <c r="H72" s="213">
        <v>0.02</v>
      </c>
      <c r="I72" s="213">
        <v>1.4999999999999999E-2</v>
      </c>
      <c r="J72" s="213">
        <v>0.04</v>
      </c>
      <c r="K72" s="213">
        <v>0.04</v>
      </c>
      <c r="L72" s="213">
        <v>0.04</v>
      </c>
      <c r="M72" s="213">
        <v>3.5000000000000003E-2</v>
      </c>
      <c r="N72" s="213">
        <v>3.5000000000000003E-2</v>
      </c>
      <c r="O72" s="213">
        <v>3.5000000000000003E-2</v>
      </c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</row>
    <row r="73" spans="2:44" x14ac:dyDescent="0.2">
      <c r="B73" s="212" t="s">
        <v>50</v>
      </c>
      <c r="C73" s="209"/>
      <c r="D73" s="209"/>
      <c r="E73" s="209"/>
      <c r="F73" s="209"/>
      <c r="G73" s="209"/>
      <c r="H73" s="213">
        <v>0.03</v>
      </c>
      <c r="I73" s="213">
        <v>0.01</v>
      </c>
      <c r="J73" s="213">
        <v>0.01</v>
      </c>
      <c r="K73" s="213">
        <v>0.01</v>
      </c>
      <c r="L73" s="213">
        <v>5.0000000000000001E-3</v>
      </c>
      <c r="M73" s="213">
        <v>5.0000000000000001E-3</v>
      </c>
      <c r="N73" s="213">
        <v>5.0000000000000001E-3</v>
      </c>
      <c r="O73" s="213">
        <v>5.0000000000000001E-3</v>
      </c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</row>
    <row r="74" spans="2:44" x14ac:dyDescent="0.2">
      <c r="B74" s="212" t="s">
        <v>97</v>
      </c>
      <c r="C74" s="209"/>
      <c r="D74" s="209"/>
      <c r="E74" s="209"/>
      <c r="F74" s="209"/>
      <c r="G74" s="209"/>
      <c r="H74" s="213">
        <v>-0.03</v>
      </c>
      <c r="I74" s="213">
        <v>5.0000000000000001E-3</v>
      </c>
      <c r="J74" s="213">
        <v>5.0000000000000001E-3</v>
      </c>
      <c r="K74" s="213">
        <v>5.0000000000000001E-3</v>
      </c>
      <c r="L74" s="213">
        <v>5.0000000000000001E-3</v>
      </c>
      <c r="M74" s="213">
        <v>5.0000000000000001E-3</v>
      </c>
      <c r="N74" s="213">
        <v>5.0000000000000001E-3</v>
      </c>
      <c r="O74" s="213">
        <v>5.0000000000000001E-3</v>
      </c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</row>
    <row r="75" spans="2:44" x14ac:dyDescent="0.2">
      <c r="B75" s="212" t="s">
        <v>51</v>
      </c>
      <c r="C75" s="209"/>
      <c r="D75" s="209"/>
      <c r="E75" s="209"/>
      <c r="F75" s="209"/>
      <c r="G75" s="209"/>
      <c r="H75" s="213">
        <v>0.08</v>
      </c>
      <c r="I75" s="213">
        <v>0.08</v>
      </c>
      <c r="J75" s="213">
        <v>0.08</v>
      </c>
      <c r="K75" s="213">
        <v>0.08</v>
      </c>
      <c r="L75" s="213">
        <v>7.0000000000000007E-2</v>
      </c>
      <c r="M75" s="213">
        <v>7.0000000000000007E-2</v>
      </c>
      <c r="N75" s="213">
        <v>0.06</v>
      </c>
      <c r="O75" s="214">
        <v>0.06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</row>
    <row r="76" spans="2:44" x14ac:dyDescent="0.2">
      <c r="B76" s="209"/>
      <c r="C76" s="209"/>
      <c r="D76" s="209"/>
      <c r="E76" s="209"/>
      <c r="F76" s="209"/>
      <c r="G76" s="209"/>
      <c r="H76" s="210"/>
      <c r="I76" s="210"/>
      <c r="J76" s="210"/>
      <c r="K76" s="210"/>
      <c r="L76" s="210"/>
      <c r="M76" s="210"/>
      <c r="N76" s="210"/>
      <c r="O76" s="211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</row>
    <row r="77" spans="2:44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</row>
    <row r="78" spans="2:44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</row>
    <row r="79" spans="2:44" x14ac:dyDescent="0.2">
      <c r="B79" s="12" t="s">
        <v>225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</row>
    <row r="80" spans="2:44" x14ac:dyDescent="0.2">
      <c r="B80" s="107" t="s">
        <v>248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</row>
    <row r="81" spans="2:44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</row>
    <row r="82" spans="2:44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</row>
    <row r="83" spans="2:44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</row>
    <row r="84" spans="2:44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</row>
    <row r="85" spans="2:44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</row>
    <row r="86" spans="2:44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</row>
    <row r="87" spans="2:44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</row>
    <row r="88" spans="2:44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</row>
    <row r="89" spans="2:44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</row>
    <row r="90" spans="2:44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</row>
    <row r="91" spans="2:44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</row>
    <row r="92" spans="2:44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</row>
    <row r="93" spans="2:44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</row>
    <row r="94" spans="2:44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</row>
    <row r="95" spans="2:44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</row>
    <row r="96" spans="2:44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</row>
    <row r="97" spans="2:44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</row>
    <row r="98" spans="2:44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</row>
    <row r="99" spans="2:44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</row>
    <row r="100" spans="2:44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</row>
    <row r="101" spans="2:44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</row>
    <row r="102" spans="2:44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</row>
    <row r="103" spans="2:44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</row>
    <row r="104" spans="2:44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</row>
    <row r="105" spans="2:44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</row>
    <row r="106" spans="2:44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</row>
    <row r="107" spans="2:44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</row>
    <row r="108" spans="2:44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</row>
    <row r="109" spans="2:44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</row>
    <row r="110" spans="2:44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</row>
    <row r="111" spans="2:44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</row>
    <row r="112" spans="2:44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</row>
    <row r="113" spans="2:44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</row>
    <row r="114" spans="2:44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</row>
    <row r="115" spans="2:44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</row>
    <row r="116" spans="2:44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</row>
    <row r="117" spans="2:44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</row>
    <row r="118" spans="2:44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</row>
    <row r="119" spans="2:44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</row>
    <row r="120" spans="2:44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</row>
    <row r="121" spans="2:44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</row>
    <row r="122" spans="2:44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</row>
    <row r="123" spans="2:44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</row>
    <row r="124" spans="2:44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</row>
    <row r="125" spans="2:44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</row>
    <row r="126" spans="2:44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</row>
    <row r="127" spans="2:44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</row>
    <row r="128" spans="2:44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</row>
    <row r="129" spans="2:44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</row>
    <row r="130" spans="2:44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</row>
    <row r="131" spans="2:44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</row>
    <row r="132" spans="2:44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</row>
    <row r="133" spans="2:44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</row>
    <row r="134" spans="2:44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</row>
    <row r="135" spans="2:44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</row>
    <row r="136" spans="2:44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</row>
    <row r="137" spans="2:44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</row>
    <row r="138" spans="2:44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</row>
    <row r="139" spans="2:44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</row>
    <row r="140" spans="2:44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</row>
    <row r="141" spans="2:44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</row>
    <row r="142" spans="2:44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</row>
    <row r="143" spans="2:44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</row>
    <row r="144" spans="2:44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</row>
    <row r="145" spans="2:44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</row>
    <row r="146" spans="2:44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</row>
    <row r="147" spans="2:44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</row>
    <row r="148" spans="2:44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</row>
    <row r="149" spans="2:44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</row>
    <row r="150" spans="2:44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</row>
    <row r="151" spans="2:44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</row>
    <row r="152" spans="2:44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</row>
    <row r="153" spans="2:44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</row>
    <row r="154" spans="2:44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</row>
    <row r="155" spans="2:44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</row>
    <row r="156" spans="2:44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</row>
    <row r="157" spans="2:44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</row>
    <row r="158" spans="2:44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</row>
    <row r="159" spans="2:44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</row>
    <row r="160" spans="2:44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</row>
    <row r="161" spans="2:44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</row>
    <row r="162" spans="2:44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</row>
    <row r="163" spans="2:44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</row>
    <row r="164" spans="2:44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</row>
    <row r="165" spans="2:44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</row>
    <row r="166" spans="2:44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</row>
    <row r="167" spans="2:44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</row>
    <row r="168" spans="2:44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</row>
    <row r="169" spans="2:44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</row>
    <row r="170" spans="2:44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</row>
    <row r="171" spans="2:44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</row>
    <row r="172" spans="2:44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</row>
    <row r="173" spans="2:44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</row>
    <row r="174" spans="2:44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</row>
    <row r="175" spans="2:44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</row>
    <row r="176" spans="2:44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</row>
    <row r="177" spans="2:44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</row>
    <row r="178" spans="2:44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</row>
    <row r="179" spans="2:44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</row>
    <row r="180" spans="2:44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</row>
    <row r="181" spans="2:44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</row>
    <row r="182" spans="2:44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</row>
    <row r="183" spans="2:44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</row>
    <row r="184" spans="2:44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</row>
    <row r="185" spans="2:44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</row>
    <row r="186" spans="2:44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</row>
    <row r="187" spans="2:44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</row>
    <row r="188" spans="2:44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</row>
    <row r="189" spans="2:44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</row>
    <row r="190" spans="2:44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</row>
    <row r="191" spans="2:44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</row>
    <row r="192" spans="2:44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</row>
    <row r="193" spans="2:44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</row>
    <row r="194" spans="2:44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</row>
    <row r="195" spans="2:44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</row>
    <row r="196" spans="2:44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</row>
    <row r="197" spans="2:44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</row>
    <row r="198" spans="2:44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</row>
    <row r="199" spans="2:44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</row>
    <row r="200" spans="2:44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</row>
    <row r="201" spans="2:44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</row>
    <row r="202" spans="2:44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</row>
    <row r="203" spans="2:44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</row>
    <row r="204" spans="2:44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</row>
    <row r="205" spans="2:44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</row>
    <row r="206" spans="2:44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</row>
    <row r="207" spans="2:44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</row>
    <row r="208" spans="2:44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</row>
    <row r="209" spans="2:44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</row>
    <row r="210" spans="2:44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</row>
    <row r="211" spans="2:44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</row>
    <row r="212" spans="2:44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</row>
    <row r="213" spans="2:44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</row>
    <row r="214" spans="2:44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</row>
    <row r="215" spans="2:44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</row>
    <row r="216" spans="2:44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</row>
    <row r="217" spans="2:44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</row>
    <row r="218" spans="2:44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</row>
    <row r="219" spans="2:44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</row>
    <row r="220" spans="2:44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</row>
    <row r="221" spans="2:44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</row>
    <row r="222" spans="2:44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</row>
    <row r="223" spans="2:44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</row>
    <row r="224" spans="2:44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</row>
    <row r="225" spans="2:44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</row>
    <row r="226" spans="2:44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</row>
    <row r="227" spans="2:44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</row>
    <row r="228" spans="2:44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</row>
    <row r="229" spans="2:44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</row>
    <row r="230" spans="2:44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</row>
    <row r="231" spans="2:44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</row>
    <row r="232" spans="2:44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</row>
    <row r="233" spans="2:44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</row>
    <row r="234" spans="2:44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</row>
    <row r="235" spans="2:44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</row>
    <row r="236" spans="2:44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</row>
    <row r="237" spans="2:44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</row>
    <row r="238" spans="2:44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</row>
    <row r="239" spans="2:44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</row>
    <row r="240" spans="2:44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</row>
    <row r="241" spans="2:44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</row>
    <row r="242" spans="2:44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</row>
    <row r="243" spans="2:44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</row>
    <row r="244" spans="2:44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</row>
    <row r="245" spans="2:44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</row>
    <row r="246" spans="2:44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</row>
    <row r="247" spans="2:44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</row>
    <row r="248" spans="2:44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</row>
    <row r="249" spans="2:44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</row>
    <row r="250" spans="2:44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</row>
    <row r="251" spans="2:44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</row>
    <row r="252" spans="2:44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</row>
    <row r="253" spans="2:44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</row>
    <row r="254" spans="2:44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</row>
    <row r="255" spans="2:44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</row>
    <row r="256" spans="2:44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</row>
    <row r="257" spans="2:44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</row>
    <row r="258" spans="2:44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</row>
    <row r="259" spans="2:44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</row>
    <row r="260" spans="2:44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</row>
    <row r="261" spans="2:44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</row>
    <row r="262" spans="2:44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</row>
    <row r="263" spans="2:44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</row>
    <row r="264" spans="2:44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</row>
    <row r="265" spans="2:44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</row>
    <row r="266" spans="2:44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</row>
    <row r="267" spans="2:44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</row>
    <row r="268" spans="2:44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</row>
    <row r="269" spans="2:44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</row>
    <row r="270" spans="2:44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</row>
    <row r="271" spans="2:44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</row>
    <row r="272" spans="2:44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</row>
    <row r="273" spans="2:44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</row>
    <row r="274" spans="2:44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</row>
    <row r="275" spans="2:44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</row>
    <row r="276" spans="2:44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</row>
    <row r="277" spans="2:44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</row>
    <row r="278" spans="2:44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</row>
    <row r="279" spans="2:44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</row>
    <row r="280" spans="2:44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</row>
    <row r="281" spans="2:44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</row>
    <row r="282" spans="2:44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</row>
    <row r="283" spans="2:44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</row>
    <row r="284" spans="2:44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</row>
    <row r="285" spans="2:44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</row>
    <row r="286" spans="2:44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</row>
    <row r="287" spans="2:44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</row>
    <row r="288" spans="2:44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</row>
    <row r="289" spans="2:44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</row>
    <row r="290" spans="2:44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</row>
    <row r="291" spans="2:44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</row>
    <row r="292" spans="2:44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</row>
    <row r="293" spans="2:44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</row>
    <row r="294" spans="2:44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</row>
    <row r="295" spans="2:44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</row>
    <row r="296" spans="2:44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</row>
    <row r="297" spans="2:44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</row>
    <row r="298" spans="2:44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</row>
    <row r="299" spans="2:44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</row>
    <row r="300" spans="2:44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</row>
    <row r="301" spans="2:44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</row>
    <row r="302" spans="2:44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</row>
    <row r="303" spans="2:44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</row>
    <row r="304" spans="2:44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</row>
    <row r="305" spans="2:44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</row>
    <row r="306" spans="2:44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</row>
    <row r="307" spans="2:44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</row>
    <row r="308" spans="2:44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</row>
    <row r="309" spans="2:44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</row>
    <row r="310" spans="2:44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</row>
    <row r="311" spans="2:44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</row>
    <row r="312" spans="2:44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</row>
    <row r="313" spans="2:44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</row>
    <row r="314" spans="2:44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</row>
    <row r="315" spans="2:44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</row>
    <row r="316" spans="2:44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</row>
    <row r="317" spans="2:44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</row>
    <row r="318" spans="2:44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</row>
    <row r="319" spans="2:44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</row>
    <row r="320" spans="2:44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</row>
    <row r="321" spans="2:44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</row>
    <row r="322" spans="2:44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</row>
    <row r="323" spans="2:44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</row>
    <row r="324" spans="2:44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</row>
    <row r="325" spans="2:44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</row>
    <row r="326" spans="2:44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</row>
    <row r="327" spans="2:44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</row>
    <row r="328" spans="2:44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</row>
    <row r="329" spans="2:44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</row>
    <row r="330" spans="2:44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</row>
    <row r="331" spans="2:44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</row>
    <row r="332" spans="2:44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</row>
    <row r="333" spans="2:44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</row>
    <row r="334" spans="2:44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</row>
    <row r="335" spans="2:44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</row>
    <row r="336" spans="2:44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</row>
    <row r="337" spans="2:44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</row>
    <row r="338" spans="2:44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</row>
    <row r="339" spans="2:44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</row>
    <row r="340" spans="2:44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</row>
    <row r="341" spans="2:44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</row>
    <row r="342" spans="2:44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</row>
    <row r="343" spans="2:44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</row>
    <row r="344" spans="2:44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</row>
    <row r="345" spans="2:44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</row>
    <row r="346" spans="2:44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</row>
    <row r="347" spans="2:44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</row>
    <row r="348" spans="2:44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</row>
    <row r="349" spans="2:44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</row>
    <row r="350" spans="2:44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</row>
    <row r="351" spans="2:44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</row>
    <row r="352" spans="2:44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</row>
    <row r="353" spans="2:44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</row>
    <row r="354" spans="2:44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</row>
    <row r="355" spans="2:44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</row>
    <row r="356" spans="2:44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</row>
    <row r="357" spans="2:44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</row>
    <row r="358" spans="2:44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</row>
    <row r="359" spans="2:44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</row>
    <row r="360" spans="2:44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</row>
    <row r="361" spans="2:44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</row>
    <row r="362" spans="2:44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</row>
    <row r="363" spans="2:44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</row>
    <row r="364" spans="2:44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</row>
    <row r="365" spans="2:44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</row>
    <row r="366" spans="2:44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</row>
    <row r="367" spans="2:44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</row>
    <row r="368" spans="2:44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</row>
    <row r="369" spans="2:44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</row>
    <row r="370" spans="2:44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</row>
    <row r="371" spans="2:44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</row>
    <row r="372" spans="2:44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</row>
    <row r="373" spans="2:44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</row>
    <row r="374" spans="2:44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</row>
    <row r="375" spans="2:44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</row>
    <row r="376" spans="2:44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</row>
    <row r="377" spans="2:44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</row>
    <row r="378" spans="2:44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</row>
    <row r="379" spans="2:44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</row>
    <row r="380" spans="2:44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</row>
    <row r="381" spans="2:44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</row>
    <row r="382" spans="2:44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</row>
    <row r="383" spans="2:44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</row>
    <row r="384" spans="2:44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</row>
    <row r="385" spans="2:44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</row>
    <row r="386" spans="2:44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</row>
    <row r="387" spans="2:44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</row>
    <row r="388" spans="2:44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</row>
    <row r="389" spans="2:44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</row>
    <row r="390" spans="2:44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</row>
    <row r="391" spans="2:44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</row>
    <row r="392" spans="2:44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</row>
    <row r="393" spans="2:44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</row>
    <row r="394" spans="2:44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</row>
    <row r="395" spans="2:44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</row>
    <row r="396" spans="2:44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</row>
    <row r="397" spans="2:44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</row>
    <row r="398" spans="2:44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</row>
    <row r="399" spans="2:44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</row>
    <row r="400" spans="2:44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</row>
    <row r="401" spans="2:44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</row>
    <row r="402" spans="2:44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</row>
    <row r="403" spans="2:44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</row>
    <row r="404" spans="2:44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</row>
    <row r="405" spans="2:44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</row>
    <row r="406" spans="2:44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</row>
    <row r="407" spans="2:44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</row>
    <row r="408" spans="2:44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</row>
    <row r="409" spans="2:44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</row>
    <row r="410" spans="2:44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</row>
    <row r="411" spans="2:44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</row>
    <row r="412" spans="2:44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</row>
    <row r="413" spans="2:44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</row>
    <row r="414" spans="2:44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</row>
    <row r="415" spans="2:44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</row>
    <row r="416" spans="2:44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</row>
    <row r="417" spans="2:44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</row>
    <row r="418" spans="2:44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</row>
    <row r="419" spans="2:44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</row>
    <row r="420" spans="2:44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</row>
    <row r="421" spans="2:44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</row>
    <row r="422" spans="2:44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</row>
    <row r="423" spans="2:44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</row>
    <row r="424" spans="2:44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</row>
    <row r="425" spans="2:44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</row>
    <row r="426" spans="2:44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</row>
    <row r="427" spans="2:44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</row>
    <row r="428" spans="2:44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</row>
    <row r="429" spans="2:44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</row>
    <row r="430" spans="2:44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</row>
    <row r="431" spans="2:44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</row>
    <row r="432" spans="2:44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</row>
    <row r="433" spans="2:44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</row>
    <row r="434" spans="2:44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</row>
    <row r="435" spans="2:44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</row>
    <row r="436" spans="2:44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</row>
    <row r="437" spans="2:44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</row>
    <row r="438" spans="2:44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</row>
    <row r="439" spans="2:44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</row>
    <row r="440" spans="2:44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</row>
    <row r="441" spans="2:44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</row>
    <row r="442" spans="2:44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</row>
    <row r="443" spans="2:44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</row>
    <row r="444" spans="2:44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</row>
    <row r="445" spans="2:44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</row>
    <row r="446" spans="2:44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</row>
    <row r="447" spans="2:44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</row>
    <row r="448" spans="2:44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</row>
    <row r="449" spans="2:44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</row>
    <row r="450" spans="2:44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</row>
    <row r="451" spans="2:44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</row>
    <row r="452" spans="2:44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</row>
    <row r="453" spans="2:44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</row>
    <row r="454" spans="2:44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</row>
    <row r="455" spans="2:44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</row>
    <row r="456" spans="2:44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</row>
    <row r="457" spans="2:44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</row>
    <row r="458" spans="2:44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</row>
    <row r="459" spans="2:44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</row>
    <row r="460" spans="2:44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</row>
    <row r="461" spans="2:44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</row>
    <row r="462" spans="2:44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</row>
    <row r="463" spans="2:44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</row>
    <row r="464" spans="2:44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</row>
    <row r="465" spans="2:44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</row>
    <row r="466" spans="2:44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</row>
    <row r="467" spans="2:44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</row>
    <row r="468" spans="2:44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</row>
    <row r="469" spans="2:44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</row>
    <row r="470" spans="2:44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</row>
    <row r="471" spans="2:44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</row>
    <row r="472" spans="2:44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</row>
    <row r="473" spans="2:44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</row>
    <row r="474" spans="2:44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</row>
    <row r="475" spans="2:44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</row>
    <row r="476" spans="2:44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</row>
    <row r="477" spans="2:44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</row>
    <row r="478" spans="2:44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</row>
    <row r="479" spans="2:44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</row>
    <row r="480" spans="2:44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</row>
    <row r="481" spans="2:44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</row>
    <row r="482" spans="2:44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</row>
    <row r="483" spans="2:44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</row>
    <row r="484" spans="2:44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</row>
    <row r="485" spans="2:44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</row>
    <row r="486" spans="2:44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</row>
    <row r="487" spans="2:44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</row>
    <row r="488" spans="2:44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</row>
    <row r="489" spans="2:44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</row>
    <row r="490" spans="2:44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</row>
    <row r="491" spans="2:44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</row>
    <row r="492" spans="2:44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</row>
    <row r="493" spans="2:44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</row>
    <row r="494" spans="2:44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</row>
    <row r="495" spans="2:44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</row>
    <row r="496" spans="2:44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</row>
    <row r="497" spans="2:44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</row>
    <row r="498" spans="2:44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</row>
    <row r="499" spans="2:44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</row>
    <row r="500" spans="2:44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</row>
    <row r="501" spans="2:44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</row>
    <row r="502" spans="2:44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</row>
    <row r="503" spans="2:44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</row>
    <row r="504" spans="2:44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</row>
    <row r="505" spans="2:44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</row>
    <row r="506" spans="2:44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</row>
    <row r="507" spans="2:44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</row>
    <row r="508" spans="2:44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</row>
    <row r="509" spans="2:44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</row>
    <row r="510" spans="2:44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</row>
    <row r="511" spans="2:44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</row>
    <row r="512" spans="2:44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</row>
    <row r="513" spans="2:44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</row>
    <row r="514" spans="2:44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</row>
    <row r="515" spans="2:44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</row>
    <row r="516" spans="2:44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</row>
    <row r="517" spans="2:44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</row>
    <row r="518" spans="2:44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</row>
    <row r="519" spans="2:44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</row>
    <row r="520" spans="2:44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</row>
    <row r="521" spans="2:44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</row>
    <row r="522" spans="2:44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</row>
    <row r="523" spans="2:44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</row>
    <row r="524" spans="2:44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</row>
    <row r="525" spans="2:44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</row>
    <row r="526" spans="2:44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</row>
    <row r="527" spans="2:44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</row>
    <row r="528" spans="2:44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</row>
    <row r="529" spans="2:44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</row>
    <row r="530" spans="2:44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</row>
    <row r="531" spans="2:44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</row>
    <row r="532" spans="2:44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</row>
    <row r="533" spans="2:44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</row>
    <row r="534" spans="2:44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</row>
    <row r="535" spans="2:44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</row>
    <row r="536" spans="2:44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</row>
    <row r="537" spans="2:44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</row>
    <row r="538" spans="2:44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</row>
    <row r="539" spans="2:44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</row>
    <row r="540" spans="2:44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</row>
    <row r="541" spans="2:44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</row>
    <row r="542" spans="2:44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</row>
    <row r="543" spans="2:44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</row>
    <row r="544" spans="2:44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</row>
    <row r="545" spans="2:44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</row>
    <row r="546" spans="2:44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</row>
    <row r="547" spans="2:44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</row>
    <row r="548" spans="2:44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</row>
    <row r="549" spans="2:44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</row>
    <row r="550" spans="2:44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</row>
    <row r="551" spans="2:44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</row>
    <row r="552" spans="2:44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</row>
    <row r="553" spans="2:44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</row>
    <row r="554" spans="2:44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</row>
    <row r="555" spans="2:44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</row>
    <row r="556" spans="2:44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</row>
    <row r="557" spans="2:44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</row>
    <row r="558" spans="2:44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</row>
    <row r="559" spans="2:44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</row>
    <row r="560" spans="2:44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</row>
    <row r="561" spans="2:44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</row>
    <row r="562" spans="2:44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</row>
    <row r="563" spans="2:44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</row>
    <row r="564" spans="2:44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</row>
    <row r="565" spans="2:44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</row>
    <row r="566" spans="2:44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</row>
    <row r="567" spans="2:44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</row>
    <row r="568" spans="2:44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</row>
    <row r="569" spans="2:44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</row>
    <row r="570" spans="2:44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</row>
    <row r="571" spans="2:44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</row>
    <row r="572" spans="2:44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</row>
    <row r="573" spans="2:44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</row>
    <row r="574" spans="2:44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</row>
    <row r="575" spans="2:44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</row>
    <row r="576" spans="2:44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</row>
    <row r="577" spans="2:44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</row>
    <row r="578" spans="2:44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</row>
    <row r="579" spans="2:44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</row>
    <row r="580" spans="2:44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</row>
    <row r="581" spans="2:44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</row>
    <row r="582" spans="2:44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</row>
    <row r="583" spans="2:44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</row>
    <row r="584" spans="2:44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</row>
    <row r="585" spans="2:44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</row>
    <row r="586" spans="2:44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</row>
    <row r="587" spans="2:44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</row>
    <row r="588" spans="2:44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</row>
    <row r="589" spans="2:44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</row>
    <row r="590" spans="2:44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</row>
    <row r="591" spans="2:44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</row>
    <row r="592" spans="2:44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</row>
    <row r="593" spans="2:44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</row>
    <row r="594" spans="2:44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</row>
    <row r="595" spans="2:44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</row>
    <row r="596" spans="2:44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</row>
    <row r="597" spans="2:44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</row>
    <row r="598" spans="2:44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</row>
    <row r="599" spans="2:44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</row>
    <row r="600" spans="2:44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</row>
    <row r="601" spans="2:44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</row>
    <row r="602" spans="2:44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</row>
    <row r="603" spans="2:44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</row>
    <row r="604" spans="2:44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</row>
    <row r="605" spans="2:44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</row>
    <row r="606" spans="2:44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</row>
    <row r="607" spans="2:44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</row>
    <row r="608" spans="2:44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</row>
    <row r="609" spans="2:44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</row>
    <row r="610" spans="2:44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</row>
    <row r="611" spans="2:44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</row>
    <row r="612" spans="2:44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</row>
    <row r="613" spans="2:44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</row>
    <row r="614" spans="2:44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</row>
    <row r="615" spans="2:44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</row>
    <row r="616" spans="2:44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</row>
    <row r="617" spans="2:44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</row>
    <row r="618" spans="2:44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</row>
    <row r="619" spans="2:44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</row>
    <row r="620" spans="2:44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</row>
    <row r="621" spans="2:44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</row>
    <row r="622" spans="2:44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</row>
    <row r="623" spans="2:44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</row>
    <row r="624" spans="2:44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</row>
    <row r="625" spans="2:44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</row>
    <row r="626" spans="2:44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</row>
    <row r="627" spans="2:44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</row>
    <row r="628" spans="2:44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</row>
    <row r="629" spans="2:44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</row>
    <row r="630" spans="2:44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</row>
    <row r="631" spans="2:44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</row>
    <row r="632" spans="2:44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</row>
    <row r="633" spans="2:44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</row>
    <row r="634" spans="2:44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</row>
    <row r="635" spans="2:44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</row>
    <row r="636" spans="2:44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</row>
    <row r="637" spans="2:44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</row>
    <row r="638" spans="2:44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</row>
    <row r="639" spans="2:44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</row>
    <row r="640" spans="2:44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</row>
    <row r="641" spans="2:44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</row>
    <row r="642" spans="2:44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</row>
    <row r="643" spans="2:44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</row>
    <row r="644" spans="2:44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</row>
    <row r="645" spans="2:44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</row>
    <row r="646" spans="2:44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</row>
    <row r="647" spans="2:44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</row>
    <row r="648" spans="2:44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</row>
    <row r="649" spans="2:44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</row>
    <row r="650" spans="2:44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</row>
    <row r="651" spans="2:44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</row>
    <row r="652" spans="2:44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</row>
    <row r="653" spans="2:44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</row>
    <row r="654" spans="2:44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</row>
    <row r="655" spans="2:44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</row>
    <row r="656" spans="2:44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</row>
    <row r="657" spans="2:44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</row>
    <row r="658" spans="2:44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</row>
    <row r="659" spans="2:44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</row>
    <row r="660" spans="2:44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</row>
    <row r="661" spans="2:44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</row>
    <row r="662" spans="2:44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</row>
    <row r="663" spans="2:44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</row>
    <row r="664" spans="2:44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</row>
    <row r="665" spans="2:44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</row>
    <row r="666" spans="2:44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</row>
    <row r="667" spans="2:44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</row>
    <row r="668" spans="2:44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</row>
    <row r="669" spans="2:44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</row>
    <row r="670" spans="2:44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</row>
    <row r="671" spans="2:44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</row>
    <row r="672" spans="2:44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</row>
    <row r="673" spans="2:44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</row>
    <row r="674" spans="2:44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</row>
    <row r="675" spans="2:44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</row>
    <row r="676" spans="2:44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</row>
    <row r="677" spans="2:44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</row>
    <row r="678" spans="2:44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</row>
    <row r="679" spans="2:44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</row>
    <row r="680" spans="2:44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</row>
    <row r="681" spans="2:44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</row>
    <row r="682" spans="2:44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</row>
    <row r="683" spans="2:44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</row>
    <row r="684" spans="2:44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</row>
    <row r="685" spans="2:44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</row>
    <row r="686" spans="2:44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</row>
    <row r="687" spans="2:44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</row>
    <row r="688" spans="2:44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</row>
    <row r="689" spans="2:44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</row>
    <row r="690" spans="2:44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</row>
    <row r="691" spans="2:44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</row>
    <row r="692" spans="2:44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</row>
    <row r="693" spans="2:44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</row>
    <row r="694" spans="2:44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</row>
    <row r="695" spans="2:44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</row>
    <row r="696" spans="2:44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</row>
    <row r="697" spans="2:44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43313-C0CE-0245-986A-1C9978731FA6}">
  <dimension ref="B2:S474"/>
  <sheetViews>
    <sheetView showGridLines="0" topLeftCell="A16" zoomScale="80" zoomScaleNormal="80" workbookViewId="0">
      <selection activeCell="B25" sqref="B25:O25"/>
    </sheetView>
  </sheetViews>
  <sheetFormatPr baseColWidth="10" defaultRowHeight="16" x14ac:dyDescent="0.2"/>
  <cols>
    <col min="2" max="2" width="43" customWidth="1"/>
    <col min="3" max="3" width="4.33203125" customWidth="1"/>
    <col min="4" max="4" width="10.33203125" customWidth="1"/>
    <col min="5" max="5" width="9.33203125" customWidth="1"/>
    <col min="6" max="6" width="9.5" customWidth="1"/>
    <col min="7" max="7" width="9.6640625" customWidth="1"/>
  </cols>
  <sheetData>
    <row r="2" spans="2:19" x14ac:dyDescent="0.2">
      <c r="B2" s="52" t="s">
        <v>47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2:19" x14ac:dyDescent="0.2">
      <c r="B3" s="52" t="s">
        <v>48</v>
      </c>
      <c r="C3" s="12"/>
      <c r="D3" s="27">
        <v>205489</v>
      </c>
      <c r="E3" s="27">
        <v>200583</v>
      </c>
      <c r="F3" s="27">
        <v>201183</v>
      </c>
      <c r="G3" s="27">
        <v>209586</v>
      </c>
      <c r="H3" s="73">
        <f>G3*(1+'Revenue Build'!H12)</f>
        <v>219017.37</v>
      </c>
      <c r="I3" s="73">
        <f>H3*(1+'Revenue Build'!I12)</f>
        <v>224492.80424999999</v>
      </c>
      <c r="J3" s="73">
        <f>I3*(1+'Revenue Build'!J12)</f>
        <v>230105.12435624996</v>
      </c>
      <c r="K3" s="73">
        <f>J3*(1+'Revenue Build'!K12)</f>
        <v>234707.22684337496</v>
      </c>
      <c r="L3" s="73">
        <f>K3*(1+'Revenue Build'!L12)</f>
        <v>239401.37138024246</v>
      </c>
      <c r="M3" s="73">
        <f>L3*(1+'Revenue Build'!M12)</f>
        <v>242992.39195094607</v>
      </c>
      <c r="N3" s="73">
        <f>M3*(1+'Revenue Build'!N12)</f>
        <v>246637.27783021022</v>
      </c>
      <c r="O3" s="73">
        <f>N3*(1+'Revenue Build'!O12)</f>
        <v>250336.83699766334</v>
      </c>
      <c r="P3" s="12"/>
      <c r="Q3" s="12"/>
      <c r="R3" s="12"/>
      <c r="S3" s="12"/>
    </row>
    <row r="4" spans="2:19" x14ac:dyDescent="0.2">
      <c r="B4" s="52" t="s">
        <v>49</v>
      </c>
      <c r="C4" s="12"/>
      <c r="D4" s="27">
        <v>40177</v>
      </c>
      <c r="E4" s="27">
        <v>29357</v>
      </c>
      <c r="F4" s="27">
        <v>29984</v>
      </c>
      <c r="G4" s="27">
        <v>33708</v>
      </c>
      <c r="H4" s="73">
        <f>G4*(1+'Revenue Build'!H13)</f>
        <v>35730.480000000003</v>
      </c>
      <c r="I4" s="73">
        <f>H4*(1+'Revenue Build'!I13)</f>
        <v>37517.004000000008</v>
      </c>
      <c r="J4" s="73">
        <f>I4*(1+'Revenue Build'!J13)</f>
        <v>39017.684160000012</v>
      </c>
      <c r="K4" s="73">
        <f>J4*(1+'Revenue Build'!K13)</f>
        <v>40383.303105600011</v>
      </c>
      <c r="L4" s="73">
        <f>K4*(1+'Revenue Build'!L13)</f>
        <v>41594.802198768011</v>
      </c>
      <c r="M4" s="73">
        <f>L4*(1+'Revenue Build'!M13)</f>
        <v>42842.646264731055</v>
      </c>
      <c r="N4" s="73">
        <f>M4*(1+'Revenue Build'!N13)</f>
        <v>43913.71242134933</v>
      </c>
      <c r="O4" s="73">
        <f>N4*(1+'Revenue Build'!O13)</f>
        <v>45011.55523188306</v>
      </c>
      <c r="P4" s="12"/>
      <c r="Q4" s="12"/>
      <c r="R4" s="12"/>
      <c r="S4" s="12"/>
    </row>
    <row r="5" spans="2:19" x14ac:dyDescent="0.2">
      <c r="B5" s="52" t="s">
        <v>50</v>
      </c>
      <c r="C5" s="12"/>
      <c r="D5" s="27">
        <v>29292</v>
      </c>
      <c r="E5" s="27">
        <v>28300</v>
      </c>
      <c r="F5" s="27">
        <v>26694</v>
      </c>
      <c r="G5" s="27">
        <v>28023</v>
      </c>
      <c r="H5" s="73">
        <f>G5*(1+'Revenue Build'!H14)</f>
        <v>28863.690000000002</v>
      </c>
      <c r="I5" s="73">
        <f>H5*(1+'Revenue Build'!I14)</f>
        <v>29440.963800000001</v>
      </c>
      <c r="J5" s="73">
        <f>I5*(1+'Revenue Build'!J14)</f>
        <v>29882.578256999997</v>
      </c>
      <c r="K5" s="73">
        <f>J5*(1+'Revenue Build'!K14)</f>
        <v>30181.404039569999</v>
      </c>
      <c r="L5" s="73">
        <f>K5*(1+'Revenue Build'!L14)</f>
        <v>30483.2180799657</v>
      </c>
      <c r="M5" s="73">
        <f>L5*(1+'Revenue Build'!M14)</f>
        <v>30635.634170365523</v>
      </c>
      <c r="N5" s="73">
        <f>M5*(1+'Revenue Build'!N14)</f>
        <v>30788.812341217348</v>
      </c>
      <c r="O5" s="73">
        <f>N5*(1+'Revenue Build'!O14)</f>
        <v>30942.756402923431</v>
      </c>
      <c r="P5" s="12"/>
      <c r="Q5" s="12"/>
      <c r="R5" s="12"/>
      <c r="S5" s="12"/>
    </row>
    <row r="6" spans="2:19" x14ac:dyDescent="0.2">
      <c r="B6" s="52" t="s">
        <v>97</v>
      </c>
      <c r="C6" s="12"/>
      <c r="D6" s="27">
        <v>41241</v>
      </c>
      <c r="E6" s="27">
        <v>39845</v>
      </c>
      <c r="F6" s="27">
        <v>37005</v>
      </c>
      <c r="G6" s="27">
        <v>35686</v>
      </c>
      <c r="H6" s="73">
        <f>G6*(1+'Revenue Build'!H15)</f>
        <v>36042.86</v>
      </c>
      <c r="I6" s="73">
        <f>H6*(1+'Revenue Build'!I15)</f>
        <v>36763.717199999999</v>
      </c>
      <c r="J6" s="73">
        <f>I6*(1+'Revenue Build'!J15)</f>
        <v>37866.628715999999</v>
      </c>
      <c r="K6" s="73">
        <f>J6*(1+'Revenue Build'!K15)</f>
        <v>39002.627577480001</v>
      </c>
      <c r="L6" s="73">
        <f>K6*(1+'Revenue Build'!L15)</f>
        <v>40172.706404804405</v>
      </c>
      <c r="M6" s="73">
        <f>L6*(1+'Revenue Build'!M15)</f>
        <v>41377.887596948538</v>
      </c>
      <c r="N6" s="73">
        <f>M6*(1+'Revenue Build'!N15)</f>
        <v>42619.224224856996</v>
      </c>
      <c r="O6" s="73">
        <f>N6*(1+'Revenue Build'!O15)</f>
        <v>43897.800951602709</v>
      </c>
      <c r="P6" s="12"/>
      <c r="Q6" s="12"/>
      <c r="R6" s="12"/>
      <c r="S6" s="12"/>
    </row>
    <row r="7" spans="2:19" x14ac:dyDescent="0.2">
      <c r="B7" s="52" t="s">
        <v>51</v>
      </c>
      <c r="C7" s="12"/>
      <c r="D7" s="27">
        <v>78129</v>
      </c>
      <c r="E7" s="27">
        <v>85200</v>
      </c>
      <c r="F7" s="27">
        <v>96169</v>
      </c>
      <c r="G7" s="27">
        <v>109158</v>
      </c>
      <c r="H7" s="73">
        <f>G7*(1+'Revenue Build'!H16)</f>
        <v>124440.12000000001</v>
      </c>
      <c r="I7" s="73">
        <f>H7*(1+'Revenue Build'!I16)</f>
        <v>140617.33559999999</v>
      </c>
      <c r="J7" s="73">
        <f>I7*(1+'Revenue Build'!J16)</f>
        <v>157491.41587200001</v>
      </c>
      <c r="K7" s="73">
        <f>J7*(1+'Revenue Build'!K16)</f>
        <v>174815.47161792003</v>
      </c>
      <c r="L7" s="73">
        <f>K7*(1+'Revenue Build'!L16)</f>
        <v>192297.01877971206</v>
      </c>
      <c r="M7" s="73">
        <f>L7*(1+'Revenue Build'!M16)</f>
        <v>209603.75046988617</v>
      </c>
      <c r="N7" s="73">
        <f>M7*(1+'Revenue Build'!N16)</f>
        <v>228468.08801217595</v>
      </c>
      <c r="O7" s="73">
        <f>N7*(1+'Revenue Build'!O16)</f>
        <v>246745.53505315006</v>
      </c>
      <c r="P7" s="12"/>
      <c r="Q7" s="12"/>
      <c r="R7" s="12"/>
      <c r="S7" s="12"/>
    </row>
    <row r="8" spans="2:19" ht="17" thickBot="1" x14ac:dyDescent="0.25">
      <c r="B8" s="174" t="s">
        <v>40</v>
      </c>
      <c r="C8" s="133"/>
      <c r="D8" s="133">
        <f t="shared" ref="D8:O8" si="0">SUM(D3:D7)</f>
        <v>394328</v>
      </c>
      <c r="E8" s="133">
        <f t="shared" si="0"/>
        <v>383285</v>
      </c>
      <c r="F8" s="133">
        <f t="shared" si="0"/>
        <v>391035</v>
      </c>
      <c r="G8" s="133">
        <f t="shared" si="0"/>
        <v>416161</v>
      </c>
      <c r="H8" s="162">
        <f>SUM(H3:H7)</f>
        <v>444094.52</v>
      </c>
      <c r="I8" s="162">
        <f t="shared" si="0"/>
        <v>468831.82485000003</v>
      </c>
      <c r="J8" s="162">
        <f t="shared" si="0"/>
        <v>494363.43136125</v>
      </c>
      <c r="K8" s="162">
        <f t="shared" si="0"/>
        <v>519090.03318394499</v>
      </c>
      <c r="L8" s="162">
        <f t="shared" si="0"/>
        <v>543949.11684349261</v>
      </c>
      <c r="M8" s="162">
        <f t="shared" si="0"/>
        <v>567452.31045287731</v>
      </c>
      <c r="N8" s="162">
        <f t="shared" si="0"/>
        <v>592427.11482980987</v>
      </c>
      <c r="O8" s="162">
        <f t="shared" si="0"/>
        <v>616934.4846372226</v>
      </c>
      <c r="P8" s="12"/>
      <c r="Q8" s="12"/>
      <c r="R8" s="12"/>
      <c r="S8" s="12"/>
    </row>
    <row r="9" spans="2:19" ht="17" thickTop="1" x14ac:dyDescent="0.2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2:19" x14ac:dyDescent="0.2">
      <c r="B10" s="52" t="s">
        <v>163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2:19" x14ac:dyDescent="0.2">
      <c r="B11" s="12" t="s">
        <v>81</v>
      </c>
      <c r="C11" s="12"/>
      <c r="D11" s="84"/>
      <c r="E11" s="84"/>
      <c r="F11" s="84"/>
      <c r="G11" s="27"/>
      <c r="H11" s="27"/>
      <c r="I11" s="27"/>
      <c r="J11" s="27"/>
      <c r="K11" s="27"/>
      <c r="L11" s="27"/>
      <c r="M11" s="27"/>
      <c r="N11" s="27"/>
      <c r="O11" s="27"/>
      <c r="P11" s="12"/>
      <c r="Q11" s="12"/>
      <c r="R11" s="12"/>
      <c r="S11" s="12"/>
    </row>
    <row r="12" spans="2:19" x14ac:dyDescent="0.2">
      <c r="B12" s="12" t="s">
        <v>82</v>
      </c>
      <c r="C12" s="12"/>
      <c r="D12" s="175"/>
      <c r="E12" s="175"/>
      <c r="F12" s="175"/>
      <c r="G12" s="32">
        <f>G3/F3-1</f>
        <v>4.1767942619406195E-2</v>
      </c>
      <c r="H12" s="32">
        <v>4.4999999999999998E-2</v>
      </c>
      <c r="I12" s="32">
        <v>2.5000000000000001E-2</v>
      </c>
      <c r="J12" s="32">
        <v>2.5000000000000001E-2</v>
      </c>
      <c r="K12" s="32">
        <v>0.02</v>
      </c>
      <c r="L12" s="32">
        <v>0.02</v>
      </c>
      <c r="M12" s="32">
        <v>1.4999999999999999E-2</v>
      </c>
      <c r="N12" s="32">
        <v>1.4999999999999999E-2</v>
      </c>
      <c r="O12" s="32">
        <v>1.4999999999999999E-2</v>
      </c>
      <c r="P12" s="12"/>
      <c r="Q12" s="12"/>
      <c r="R12" s="12"/>
      <c r="S12" s="12"/>
    </row>
    <row r="13" spans="2:19" x14ac:dyDescent="0.2">
      <c r="B13" s="12" t="s">
        <v>83</v>
      </c>
      <c r="C13" s="12"/>
      <c r="D13" s="84"/>
      <c r="E13" s="176"/>
      <c r="F13" s="84"/>
      <c r="G13" s="32">
        <f t="shared" ref="G13:G14" si="1">G4/F4-1</f>
        <v>0.12419957310565644</v>
      </c>
      <c r="H13" s="32">
        <v>0.06</v>
      </c>
      <c r="I13" s="32">
        <v>0.05</v>
      </c>
      <c r="J13" s="32">
        <v>0.04</v>
      </c>
      <c r="K13" s="32">
        <v>3.5000000000000003E-2</v>
      </c>
      <c r="L13" s="32">
        <v>0.03</v>
      </c>
      <c r="M13" s="32">
        <v>0.03</v>
      </c>
      <c r="N13" s="32">
        <v>2.5000000000000001E-2</v>
      </c>
      <c r="O13" s="32">
        <v>2.5000000000000001E-2</v>
      </c>
      <c r="P13" s="12"/>
      <c r="Q13" s="12"/>
      <c r="R13" s="12"/>
      <c r="S13" s="12"/>
    </row>
    <row r="14" spans="2:19" x14ac:dyDescent="0.2">
      <c r="B14" s="12" t="s">
        <v>84</v>
      </c>
      <c r="C14" s="12"/>
      <c r="D14" s="84"/>
      <c r="E14" s="176"/>
      <c r="F14" s="84"/>
      <c r="G14" s="32">
        <f t="shared" si="1"/>
        <v>4.9786468869408962E-2</v>
      </c>
      <c r="H14" s="32">
        <v>0.03</v>
      </c>
      <c r="I14" s="32">
        <v>0.02</v>
      </c>
      <c r="J14" s="32">
        <v>1.4999999999999999E-2</v>
      </c>
      <c r="K14" s="32">
        <v>0.01</v>
      </c>
      <c r="L14" s="32">
        <v>0.01</v>
      </c>
      <c r="M14" s="32">
        <v>5.0000000000000001E-3</v>
      </c>
      <c r="N14" s="32">
        <v>5.0000000000000001E-3</v>
      </c>
      <c r="O14" s="32">
        <v>5.0000000000000001E-3</v>
      </c>
      <c r="P14" s="12"/>
      <c r="Q14" s="12"/>
      <c r="R14" s="12"/>
      <c r="S14" s="12"/>
    </row>
    <row r="15" spans="2:19" x14ac:dyDescent="0.2">
      <c r="B15" s="12" t="s">
        <v>86</v>
      </c>
      <c r="C15" s="12"/>
      <c r="D15" s="84"/>
      <c r="E15" s="84"/>
      <c r="F15" s="84"/>
      <c r="G15" s="32">
        <f>G6/F6-1</f>
        <v>-3.5643831914606183E-2</v>
      </c>
      <c r="H15" s="32">
        <v>0.01</v>
      </c>
      <c r="I15" s="32">
        <v>0.02</v>
      </c>
      <c r="J15" s="32">
        <v>0.03</v>
      </c>
      <c r="K15" s="32">
        <v>0.03</v>
      </c>
      <c r="L15" s="32">
        <v>0.03</v>
      </c>
      <c r="M15" s="32">
        <v>0.03</v>
      </c>
      <c r="N15" s="32">
        <v>0.03</v>
      </c>
      <c r="O15" s="32">
        <v>0.03</v>
      </c>
      <c r="P15" s="12"/>
      <c r="Q15" s="12"/>
      <c r="R15" s="12"/>
      <c r="S15" s="12"/>
    </row>
    <row r="16" spans="2:19" x14ac:dyDescent="0.2">
      <c r="B16" s="12" t="s">
        <v>85</v>
      </c>
      <c r="C16" s="12"/>
      <c r="D16" s="84"/>
      <c r="E16" s="84"/>
      <c r="F16" s="84"/>
      <c r="G16" s="32">
        <f>G7/F7-1</f>
        <v>0.13506431386413498</v>
      </c>
      <c r="H16" s="32">
        <v>0.14000000000000001</v>
      </c>
      <c r="I16" s="32">
        <v>0.13</v>
      </c>
      <c r="J16" s="32">
        <v>0.12</v>
      </c>
      <c r="K16" s="32">
        <v>0.11</v>
      </c>
      <c r="L16" s="32">
        <v>0.1</v>
      </c>
      <c r="M16" s="32">
        <v>0.09</v>
      </c>
      <c r="N16" s="32">
        <v>0.09</v>
      </c>
      <c r="O16" s="32">
        <v>0.08</v>
      </c>
      <c r="P16" s="12"/>
      <c r="Q16" s="12"/>
      <c r="R16" s="12"/>
      <c r="S16" s="12"/>
    </row>
    <row r="17" spans="2:19" x14ac:dyDescent="0.2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2:19" x14ac:dyDescent="0.2">
      <c r="B18" s="16" t="s">
        <v>100</v>
      </c>
      <c r="C18" s="16"/>
      <c r="D18" s="16">
        <v>2022</v>
      </c>
      <c r="E18" s="16">
        <f t="shared" ref="E18:M18" si="2">D18+1</f>
        <v>2023</v>
      </c>
      <c r="F18" s="16">
        <f t="shared" si="2"/>
        <v>2024</v>
      </c>
      <c r="G18" s="16">
        <f t="shared" si="2"/>
        <v>2025</v>
      </c>
      <c r="H18" s="16">
        <f t="shared" si="2"/>
        <v>2026</v>
      </c>
      <c r="I18" s="16">
        <f t="shared" si="2"/>
        <v>2027</v>
      </c>
      <c r="J18" s="16">
        <f t="shared" si="2"/>
        <v>2028</v>
      </c>
      <c r="K18" s="16">
        <f t="shared" si="2"/>
        <v>2029</v>
      </c>
      <c r="L18" s="16">
        <f t="shared" si="2"/>
        <v>2030</v>
      </c>
      <c r="M18" s="16">
        <f t="shared" si="2"/>
        <v>2031</v>
      </c>
      <c r="N18" s="16">
        <f>M18+1</f>
        <v>2032</v>
      </c>
      <c r="O18" s="16">
        <f>N18+1</f>
        <v>2033</v>
      </c>
      <c r="P18" s="12"/>
      <c r="Q18" s="12"/>
      <c r="R18" s="12"/>
      <c r="S18" s="12"/>
    </row>
    <row r="19" spans="2:19" x14ac:dyDescent="0.2">
      <c r="B19" s="52" t="s">
        <v>48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2:19" x14ac:dyDescent="0.2">
      <c r="B20" s="177" t="s">
        <v>146</v>
      </c>
      <c r="C20" s="65"/>
      <c r="D20" s="178">
        <f t="shared" ref="D20:O20" si="3">D3</f>
        <v>205489</v>
      </c>
      <c r="E20" s="178">
        <f t="shared" si="3"/>
        <v>200583</v>
      </c>
      <c r="F20" s="178">
        <f t="shared" si="3"/>
        <v>201183</v>
      </c>
      <c r="G20" s="178">
        <f t="shared" si="3"/>
        <v>209586</v>
      </c>
      <c r="H20" s="66">
        <f t="shared" si="3"/>
        <v>219017.37</v>
      </c>
      <c r="I20" s="66">
        <f t="shared" si="3"/>
        <v>224492.80424999999</v>
      </c>
      <c r="J20" s="66">
        <f t="shared" si="3"/>
        <v>230105.12435624996</v>
      </c>
      <c r="K20" s="66">
        <f t="shared" si="3"/>
        <v>234707.22684337496</v>
      </c>
      <c r="L20" s="66">
        <f t="shared" si="3"/>
        <v>239401.37138024246</v>
      </c>
      <c r="M20" s="66">
        <f t="shared" si="3"/>
        <v>242992.39195094607</v>
      </c>
      <c r="N20" s="66">
        <f t="shared" si="3"/>
        <v>246637.27783021022</v>
      </c>
      <c r="O20" s="179">
        <f t="shared" si="3"/>
        <v>250336.83699766334</v>
      </c>
      <c r="P20" s="12"/>
      <c r="Q20" s="12"/>
      <c r="R20" s="12"/>
      <c r="S20" s="12"/>
    </row>
    <row r="21" spans="2:19" x14ac:dyDescent="0.2">
      <c r="B21" s="180" t="s">
        <v>143</v>
      </c>
      <c r="C21" s="91"/>
      <c r="D21" s="91"/>
      <c r="E21" s="91"/>
      <c r="F21" s="91"/>
      <c r="G21" s="181"/>
      <c r="H21" s="182">
        <f t="shared" ref="H21:O21" si="4">H12</f>
        <v>4.4999999999999998E-2</v>
      </c>
      <c r="I21" s="182">
        <f t="shared" si="4"/>
        <v>2.5000000000000001E-2</v>
      </c>
      <c r="J21" s="182">
        <f t="shared" si="4"/>
        <v>2.5000000000000001E-2</v>
      </c>
      <c r="K21" s="182">
        <f t="shared" si="4"/>
        <v>0.02</v>
      </c>
      <c r="L21" s="182">
        <f t="shared" si="4"/>
        <v>0.02</v>
      </c>
      <c r="M21" s="182">
        <f t="shared" si="4"/>
        <v>1.4999999999999999E-2</v>
      </c>
      <c r="N21" s="182">
        <f t="shared" si="4"/>
        <v>1.4999999999999999E-2</v>
      </c>
      <c r="O21" s="183">
        <f t="shared" si="4"/>
        <v>1.4999999999999999E-2</v>
      </c>
      <c r="P21" s="12"/>
      <c r="Q21" s="12"/>
      <c r="R21" s="12"/>
      <c r="S21" s="12"/>
    </row>
    <row r="22" spans="2:19" x14ac:dyDescent="0.2">
      <c r="B22" s="5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2:19" x14ac:dyDescent="0.2">
      <c r="B23" s="52" t="s">
        <v>22</v>
      </c>
      <c r="C23" s="12"/>
      <c r="D23" s="12"/>
      <c r="E23" s="12"/>
      <c r="F23" s="12"/>
      <c r="G23" s="12"/>
      <c r="H23" s="73">
        <f>G20*(1+0.045)</f>
        <v>219017.37</v>
      </c>
      <c r="I23" s="73">
        <f>H20*(1+0.035)</f>
        <v>226682.97794999997</v>
      </c>
      <c r="J23" s="73">
        <f>I20*(1+0.03)</f>
        <v>231227.58837749998</v>
      </c>
      <c r="K23" s="73">
        <f>J20*(1+0.03)</f>
        <v>237008.27808693747</v>
      </c>
      <c r="L23" s="73">
        <f>K20*(1+0.025)</f>
        <v>240574.90751445931</v>
      </c>
      <c r="M23" s="73">
        <f>L20*(1+0.025)</f>
        <v>245386.40566474851</v>
      </c>
      <c r="N23" s="73">
        <f>M20*(1+0.02)</f>
        <v>247852.23978996498</v>
      </c>
      <c r="O23" s="73">
        <f>N20*(1+0.02)</f>
        <v>251570.02338681443</v>
      </c>
      <c r="P23" s="12"/>
      <c r="Q23" s="12"/>
      <c r="R23" s="12"/>
      <c r="S23" s="12"/>
    </row>
    <row r="24" spans="2:19" x14ac:dyDescent="0.2">
      <c r="B24" s="52" t="s">
        <v>23</v>
      </c>
      <c r="C24" s="12"/>
      <c r="D24" s="12"/>
      <c r="E24" s="12"/>
      <c r="F24" s="12"/>
      <c r="G24" s="12"/>
      <c r="H24" s="73">
        <f>G20*(1+0.03)</f>
        <v>215873.58000000002</v>
      </c>
      <c r="I24" s="73">
        <f>H20*(1+0.025)</f>
        <v>224492.80424999999</v>
      </c>
      <c r="J24" s="73">
        <f>I20*(1+0.025)</f>
        <v>230105.12435624996</v>
      </c>
      <c r="K24" s="73">
        <f>J20*(1+0.02)</f>
        <v>234707.22684337496</v>
      </c>
      <c r="L24" s="73">
        <f>K20*(1+0.02)</f>
        <v>239401.37138024246</v>
      </c>
      <c r="M24" s="73">
        <f>L20*(1+0.015)</f>
        <v>242992.39195094607</v>
      </c>
      <c r="N24" s="73">
        <f t="shared" ref="N24:O24" si="5">M20*(1+0.015)</f>
        <v>246637.27783021022</v>
      </c>
      <c r="O24" s="73">
        <f t="shared" si="5"/>
        <v>250336.83699766334</v>
      </c>
      <c r="P24" s="12"/>
      <c r="Q24" s="12"/>
      <c r="R24" s="12"/>
      <c r="S24" s="12"/>
    </row>
    <row r="25" spans="2:19" x14ac:dyDescent="0.2">
      <c r="B25" s="52" t="s">
        <v>24</v>
      </c>
      <c r="C25" s="12"/>
      <c r="D25" s="12"/>
      <c r="E25" s="12"/>
      <c r="F25" s="12"/>
      <c r="G25" s="12"/>
      <c r="H25" s="73">
        <f>G20*(1+0.01)</f>
        <v>211681.86000000002</v>
      </c>
      <c r="I25" s="73">
        <f t="shared" ref="I25:J25" si="6">H20*(1+0.01)</f>
        <v>221207.54370000001</v>
      </c>
      <c r="J25" s="73">
        <f t="shared" si="6"/>
        <v>226737.73229249998</v>
      </c>
      <c r="K25" s="73">
        <f>J20*(1+0.005)</f>
        <v>231255.64997803117</v>
      </c>
      <c r="L25" s="73">
        <f>K20*(1+0.005)</f>
        <v>235880.7629775918</v>
      </c>
      <c r="M25" s="73">
        <f t="shared" ref="M25" si="7">L20*(1+0.005)</f>
        <v>240598.37823714365</v>
      </c>
      <c r="N25" s="73">
        <f>M20*(1+0)</f>
        <v>242992.39195094607</v>
      </c>
      <c r="O25" s="73">
        <f>N20*(1+0)</f>
        <v>246637.27783021022</v>
      </c>
      <c r="P25" s="12"/>
      <c r="Q25" s="12"/>
      <c r="R25" s="12"/>
      <c r="S25" s="12"/>
    </row>
    <row r="26" spans="2:19" x14ac:dyDescent="0.2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2:19" x14ac:dyDescent="0.2">
      <c r="B27" s="52" t="s">
        <v>49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2:19" x14ac:dyDescent="0.2">
      <c r="B28" s="177" t="s">
        <v>144</v>
      </c>
      <c r="C28" s="65"/>
      <c r="D28" s="178">
        <f t="shared" ref="D28:O28" si="8">D4</f>
        <v>40177</v>
      </c>
      <c r="E28" s="178">
        <f t="shared" si="8"/>
        <v>29357</v>
      </c>
      <c r="F28" s="178">
        <f t="shared" si="8"/>
        <v>29984</v>
      </c>
      <c r="G28" s="178">
        <f t="shared" si="8"/>
        <v>33708</v>
      </c>
      <c r="H28" s="66">
        <f t="shared" si="8"/>
        <v>35730.480000000003</v>
      </c>
      <c r="I28" s="66">
        <f t="shared" si="8"/>
        <v>37517.004000000008</v>
      </c>
      <c r="J28" s="66">
        <f t="shared" si="8"/>
        <v>39017.684160000012</v>
      </c>
      <c r="K28" s="66">
        <f t="shared" si="8"/>
        <v>40383.303105600011</v>
      </c>
      <c r="L28" s="66">
        <f t="shared" si="8"/>
        <v>41594.802198768011</v>
      </c>
      <c r="M28" s="66">
        <f t="shared" si="8"/>
        <v>42842.646264731055</v>
      </c>
      <c r="N28" s="66">
        <f t="shared" si="8"/>
        <v>43913.71242134933</v>
      </c>
      <c r="O28" s="66">
        <f t="shared" si="8"/>
        <v>45011.55523188306</v>
      </c>
      <c r="P28" s="12"/>
      <c r="Q28" s="12"/>
      <c r="R28" s="12"/>
      <c r="S28" s="12"/>
    </row>
    <row r="29" spans="2:19" x14ac:dyDescent="0.2">
      <c r="B29" s="180" t="s">
        <v>143</v>
      </c>
      <c r="C29" s="91"/>
      <c r="D29" s="91"/>
      <c r="E29" s="91"/>
      <c r="F29" s="91"/>
      <c r="G29" s="184"/>
      <c r="H29" s="185">
        <f t="shared" ref="H29:O29" si="9">H13</f>
        <v>0.06</v>
      </c>
      <c r="I29" s="185">
        <f t="shared" si="9"/>
        <v>0.05</v>
      </c>
      <c r="J29" s="185">
        <f t="shared" si="9"/>
        <v>0.04</v>
      </c>
      <c r="K29" s="185">
        <f t="shared" si="9"/>
        <v>3.5000000000000003E-2</v>
      </c>
      <c r="L29" s="185">
        <f t="shared" si="9"/>
        <v>0.03</v>
      </c>
      <c r="M29" s="185">
        <f t="shared" si="9"/>
        <v>0.03</v>
      </c>
      <c r="N29" s="185">
        <f t="shared" si="9"/>
        <v>2.5000000000000001E-2</v>
      </c>
      <c r="O29" s="185">
        <f t="shared" si="9"/>
        <v>2.5000000000000001E-2</v>
      </c>
      <c r="P29" s="12"/>
      <c r="Q29" s="12"/>
      <c r="R29" s="12"/>
      <c r="S29" s="12"/>
    </row>
    <row r="30" spans="2:19" x14ac:dyDescent="0.2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2:19" x14ac:dyDescent="0.2">
      <c r="B31" s="52" t="s">
        <v>22</v>
      </c>
      <c r="C31" s="12"/>
      <c r="D31" s="12"/>
      <c r="E31" s="12"/>
      <c r="F31" s="12"/>
      <c r="G31" s="12"/>
      <c r="H31" s="73">
        <f>G28*(1+0.09)</f>
        <v>36741.72</v>
      </c>
      <c r="I31" s="73">
        <f t="shared" ref="I31" si="10">H28*(1+0.08)</f>
        <v>38588.91840000001</v>
      </c>
      <c r="J31" s="73">
        <f>I28*(1+0.07)</f>
        <v>40143.194280000011</v>
      </c>
      <c r="K31" s="73">
        <f>J28*(1+0.055)</f>
        <v>41163.656788800006</v>
      </c>
      <c r="L31" s="73">
        <f>K28*(1+0.045)</f>
        <v>42200.551745352008</v>
      </c>
      <c r="M31" s="73">
        <f>L28*(1+0.04)</f>
        <v>43258.594286718733</v>
      </c>
      <c r="N31" s="73">
        <f>M28*(1+0.035)</f>
        <v>44342.138883996638</v>
      </c>
      <c r="O31" s="73">
        <f>N28*(1+0.03)</f>
        <v>45231.123793989813</v>
      </c>
      <c r="P31" s="12"/>
      <c r="Q31" s="12"/>
      <c r="R31" s="12"/>
      <c r="S31" s="12"/>
    </row>
    <row r="32" spans="2:19" x14ac:dyDescent="0.2">
      <c r="B32" s="52" t="s">
        <v>23</v>
      </c>
      <c r="C32" s="12"/>
      <c r="D32" s="12"/>
      <c r="E32" s="12"/>
      <c r="F32" s="12"/>
      <c r="G32" s="12"/>
      <c r="H32" s="73">
        <f>G28*(1+0.06)</f>
        <v>35730.480000000003</v>
      </c>
      <c r="I32" s="73">
        <f>H28*(1+0.05)</f>
        <v>37517.004000000008</v>
      </c>
      <c r="J32" s="73">
        <f>I28*(1+0.04)</f>
        <v>39017.684160000012</v>
      </c>
      <c r="K32" s="73">
        <f>J28*(1+0.035)</f>
        <v>40383.303105600011</v>
      </c>
      <c r="L32" s="73">
        <f>K28*(1+0.03)</f>
        <v>41594.802198768011</v>
      </c>
      <c r="M32" s="73">
        <f t="shared" ref="M32" si="11">L28*(1+0.03)</f>
        <v>42842.646264731055</v>
      </c>
      <c r="N32" s="73">
        <f>M28*(1+0.025)</f>
        <v>43913.71242134933</v>
      </c>
      <c r="O32" s="73">
        <f>N28*(1+0.025)</f>
        <v>45011.55523188306</v>
      </c>
      <c r="P32" s="12"/>
      <c r="Q32" s="12"/>
      <c r="R32" s="12"/>
      <c r="S32" s="12"/>
    </row>
    <row r="33" spans="2:19" x14ac:dyDescent="0.2">
      <c r="B33" s="52" t="s">
        <v>24</v>
      </c>
      <c r="C33" s="12"/>
      <c r="D33" s="12"/>
      <c r="E33" s="12"/>
      <c r="F33" s="12"/>
      <c r="G33" s="12"/>
      <c r="H33" s="73">
        <f>G28*(1+0.02)</f>
        <v>34382.160000000003</v>
      </c>
      <c r="I33" s="73">
        <f>H28*(1+0.015)</f>
        <v>36266.4372</v>
      </c>
      <c r="J33" s="73">
        <f t="shared" ref="J33:L33" si="12">I28*(1+0.04)</f>
        <v>39017.684160000012</v>
      </c>
      <c r="K33" s="73">
        <f t="shared" si="12"/>
        <v>40578.391526400017</v>
      </c>
      <c r="L33" s="73">
        <f t="shared" si="12"/>
        <v>41998.635229824016</v>
      </c>
      <c r="M33" s="73">
        <f>L28*(1+0.035)</f>
        <v>43050.62027572489</v>
      </c>
      <c r="N33" s="73">
        <f>M28*(1+0.035)</f>
        <v>44342.138883996638</v>
      </c>
      <c r="O33" s="73">
        <f>N28*(1+0.025)</f>
        <v>45011.55523188306</v>
      </c>
      <c r="P33" s="12"/>
      <c r="Q33" s="12"/>
      <c r="R33" s="12"/>
      <c r="S33" s="12"/>
    </row>
    <row r="34" spans="2:19" x14ac:dyDescent="0.2">
      <c r="B34" s="5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2:19" x14ac:dyDescent="0.2">
      <c r="B35" s="52" t="s">
        <v>50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2:19" x14ac:dyDescent="0.2">
      <c r="B36" s="177" t="s">
        <v>145</v>
      </c>
      <c r="C36" s="65"/>
      <c r="D36" s="178">
        <f t="shared" ref="D36:O36" si="13">D5</f>
        <v>29292</v>
      </c>
      <c r="E36" s="178">
        <f t="shared" si="13"/>
        <v>28300</v>
      </c>
      <c r="F36" s="178">
        <f t="shared" si="13"/>
        <v>26694</v>
      </c>
      <c r="G36" s="178">
        <f t="shared" si="13"/>
        <v>28023</v>
      </c>
      <c r="H36" s="66">
        <f t="shared" si="13"/>
        <v>28863.690000000002</v>
      </c>
      <c r="I36" s="66">
        <f t="shared" si="13"/>
        <v>29440.963800000001</v>
      </c>
      <c r="J36" s="66">
        <f t="shared" si="13"/>
        <v>29882.578256999997</v>
      </c>
      <c r="K36" s="66">
        <f t="shared" si="13"/>
        <v>30181.404039569999</v>
      </c>
      <c r="L36" s="66">
        <f t="shared" si="13"/>
        <v>30483.2180799657</v>
      </c>
      <c r="M36" s="66">
        <f t="shared" si="13"/>
        <v>30635.634170365523</v>
      </c>
      <c r="N36" s="66">
        <f t="shared" si="13"/>
        <v>30788.812341217348</v>
      </c>
      <c r="O36" s="66">
        <f t="shared" si="13"/>
        <v>30942.756402923431</v>
      </c>
      <c r="P36" s="12"/>
      <c r="Q36" s="12"/>
      <c r="R36" s="12"/>
      <c r="S36" s="12"/>
    </row>
    <row r="37" spans="2:19" x14ac:dyDescent="0.2">
      <c r="B37" s="180" t="s">
        <v>143</v>
      </c>
      <c r="C37" s="91"/>
      <c r="D37" s="91"/>
      <c r="E37" s="91"/>
      <c r="F37" s="91"/>
      <c r="G37" s="184"/>
      <c r="H37" s="185">
        <f t="shared" ref="H37:O37" si="14">H14</f>
        <v>0.03</v>
      </c>
      <c r="I37" s="185">
        <f t="shared" si="14"/>
        <v>0.02</v>
      </c>
      <c r="J37" s="185">
        <f t="shared" si="14"/>
        <v>1.4999999999999999E-2</v>
      </c>
      <c r="K37" s="185">
        <f t="shared" si="14"/>
        <v>0.01</v>
      </c>
      <c r="L37" s="185">
        <f t="shared" si="14"/>
        <v>0.01</v>
      </c>
      <c r="M37" s="185">
        <f t="shared" si="14"/>
        <v>5.0000000000000001E-3</v>
      </c>
      <c r="N37" s="185">
        <f t="shared" si="14"/>
        <v>5.0000000000000001E-3</v>
      </c>
      <c r="O37" s="185">
        <f t="shared" si="14"/>
        <v>5.0000000000000001E-3</v>
      </c>
      <c r="P37" s="12"/>
      <c r="Q37" s="12"/>
      <c r="R37" s="12"/>
      <c r="S37" s="12"/>
    </row>
    <row r="38" spans="2:19" x14ac:dyDescent="0.2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2:19" x14ac:dyDescent="0.2">
      <c r="B39" s="52" t="s">
        <v>22</v>
      </c>
      <c r="C39" s="12"/>
      <c r="D39" s="12"/>
      <c r="E39" s="12"/>
      <c r="F39" s="12"/>
      <c r="G39" s="12"/>
      <c r="H39" s="73">
        <f>G36*(1+0.06)</f>
        <v>29704.38</v>
      </c>
      <c r="I39" s="73">
        <f t="shared" ref="I39" si="15">H36*(1+0.05)</f>
        <v>30306.874500000005</v>
      </c>
      <c r="J39" s="73">
        <f>I36*(1+0.04)</f>
        <v>30618.602352000002</v>
      </c>
      <c r="K39" s="73">
        <f>J36*(1+0.025)</f>
        <v>30629.642713424993</v>
      </c>
      <c r="L39" s="73">
        <f>K36*(1+0.015)</f>
        <v>30634.125100163546</v>
      </c>
      <c r="M39" s="73">
        <f>L36*(1+0.012)</f>
        <v>30849.01669692529</v>
      </c>
      <c r="N39" s="73">
        <f>M36*(1+0.01)</f>
        <v>30941.99051206918</v>
      </c>
      <c r="O39" s="73">
        <f>N36*(1+0.01)</f>
        <v>31096.700464629521</v>
      </c>
      <c r="P39" s="12"/>
      <c r="Q39" s="12"/>
      <c r="R39" s="12"/>
      <c r="S39" s="12"/>
    </row>
    <row r="40" spans="2:19" x14ac:dyDescent="0.2">
      <c r="B40" s="52" t="s">
        <v>23</v>
      </c>
      <c r="C40" s="12"/>
      <c r="D40" s="12"/>
      <c r="E40" s="12"/>
      <c r="F40" s="12"/>
      <c r="G40" s="12"/>
      <c r="H40" s="73">
        <f>G36*(1+0.03)</f>
        <v>28863.690000000002</v>
      </c>
      <c r="I40" s="73">
        <f>H36*(1+0.02)</f>
        <v>29440.963800000001</v>
      </c>
      <c r="J40" s="73">
        <f>I36*(1+0.015)</f>
        <v>29882.578256999997</v>
      </c>
      <c r="K40" s="73">
        <f>J36*(1+0.01)</f>
        <v>30181.404039569999</v>
      </c>
      <c r="L40" s="73">
        <f>K36*(1+0.01)</f>
        <v>30483.2180799657</v>
      </c>
      <c r="M40" s="73">
        <f>L36*(1+0.005)</f>
        <v>30635.634170365523</v>
      </c>
      <c r="N40" s="73">
        <f t="shared" ref="N40:O40" si="16">M36*(1+0.005)</f>
        <v>30788.812341217348</v>
      </c>
      <c r="O40" s="73">
        <f t="shared" si="16"/>
        <v>30942.756402923431</v>
      </c>
      <c r="P40" s="12"/>
      <c r="Q40" s="12"/>
      <c r="R40" s="12"/>
      <c r="S40" s="12"/>
    </row>
    <row r="41" spans="2:19" x14ac:dyDescent="0.2">
      <c r="B41" s="52" t="s">
        <v>24</v>
      </c>
      <c r="C41" s="12"/>
      <c r="D41" s="12"/>
      <c r="E41" s="12"/>
      <c r="F41" s="12"/>
      <c r="G41" s="12"/>
      <c r="H41" s="73">
        <f>G36*(1+0.03)</f>
        <v>28863.690000000002</v>
      </c>
      <c r="I41" s="73">
        <f>H36*(1+0.01)</f>
        <v>29152.326900000004</v>
      </c>
      <c r="J41" s="73">
        <f t="shared" ref="J41:K41" si="17">I36*(1+0.01)</f>
        <v>29735.373438000002</v>
      </c>
      <c r="K41" s="73">
        <f t="shared" si="17"/>
        <v>30181.404039569999</v>
      </c>
      <c r="L41" s="73">
        <f>K36*(1+0.005)</f>
        <v>30332.311059767846</v>
      </c>
      <c r="M41" s="73">
        <f>L36*(1+0.005)</f>
        <v>30635.634170365523</v>
      </c>
      <c r="N41" s="73">
        <f>M36*(1+0.005)</f>
        <v>30788.812341217348</v>
      </c>
      <c r="O41" s="73">
        <f>N36*(1+0.005)</f>
        <v>30942.756402923431</v>
      </c>
      <c r="P41" s="12"/>
      <c r="Q41" s="12"/>
      <c r="R41" s="12"/>
      <c r="S41" s="12"/>
    </row>
    <row r="42" spans="2:19" x14ac:dyDescent="0.2">
      <c r="B42" s="5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2:19" x14ac:dyDescent="0.2">
      <c r="B43" s="52" t="s">
        <v>97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2:19" x14ac:dyDescent="0.2">
      <c r="B44" s="177" t="s">
        <v>147</v>
      </c>
      <c r="C44" s="65"/>
      <c r="D44" s="178">
        <f t="shared" ref="D44:O44" si="18">D6</f>
        <v>41241</v>
      </c>
      <c r="E44" s="178">
        <f t="shared" si="18"/>
        <v>39845</v>
      </c>
      <c r="F44" s="178">
        <f t="shared" si="18"/>
        <v>37005</v>
      </c>
      <c r="G44" s="178">
        <f t="shared" si="18"/>
        <v>35686</v>
      </c>
      <c r="H44" s="66">
        <f t="shared" si="18"/>
        <v>36042.86</v>
      </c>
      <c r="I44" s="66">
        <f t="shared" si="18"/>
        <v>36763.717199999999</v>
      </c>
      <c r="J44" s="66">
        <f t="shared" si="18"/>
        <v>37866.628715999999</v>
      </c>
      <c r="K44" s="66">
        <f t="shared" si="18"/>
        <v>39002.627577480001</v>
      </c>
      <c r="L44" s="66">
        <f t="shared" si="18"/>
        <v>40172.706404804405</v>
      </c>
      <c r="M44" s="66">
        <f t="shared" si="18"/>
        <v>41377.887596948538</v>
      </c>
      <c r="N44" s="66">
        <f t="shared" si="18"/>
        <v>42619.224224856996</v>
      </c>
      <c r="O44" s="66">
        <f t="shared" si="18"/>
        <v>43897.800951602709</v>
      </c>
      <c r="P44" s="12"/>
      <c r="Q44" s="12"/>
      <c r="R44" s="12"/>
      <c r="S44" s="12"/>
    </row>
    <row r="45" spans="2:19" x14ac:dyDescent="0.2">
      <c r="B45" s="180" t="s">
        <v>143</v>
      </c>
      <c r="C45" s="91"/>
      <c r="D45" s="91"/>
      <c r="E45" s="91"/>
      <c r="F45" s="91"/>
      <c r="G45" s="184"/>
      <c r="H45" s="185">
        <f t="shared" ref="H45:O45" si="19">H15</f>
        <v>0.01</v>
      </c>
      <c r="I45" s="185">
        <f t="shared" si="19"/>
        <v>0.02</v>
      </c>
      <c r="J45" s="185">
        <f t="shared" si="19"/>
        <v>0.03</v>
      </c>
      <c r="K45" s="185">
        <f t="shared" si="19"/>
        <v>0.03</v>
      </c>
      <c r="L45" s="185">
        <f t="shared" si="19"/>
        <v>0.03</v>
      </c>
      <c r="M45" s="185">
        <f t="shared" si="19"/>
        <v>0.03</v>
      </c>
      <c r="N45" s="185">
        <f t="shared" si="19"/>
        <v>0.03</v>
      </c>
      <c r="O45" s="185">
        <f t="shared" si="19"/>
        <v>0.03</v>
      </c>
      <c r="P45" s="12"/>
      <c r="Q45" s="12"/>
      <c r="R45" s="12"/>
      <c r="S45" s="12"/>
    </row>
    <row r="46" spans="2:19" x14ac:dyDescent="0.2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2:19" x14ac:dyDescent="0.2">
      <c r="B47" s="52" t="s">
        <v>22</v>
      </c>
      <c r="C47" s="12"/>
      <c r="D47" s="12"/>
      <c r="E47" s="12"/>
      <c r="F47" s="12"/>
      <c r="G47" s="12"/>
      <c r="H47" s="73">
        <f>G44*(1+0.025)</f>
        <v>36578.149999999994</v>
      </c>
      <c r="I47" s="73">
        <f>H44*(1+0.035)</f>
        <v>37304.360099999998</v>
      </c>
      <c r="J47" s="73">
        <f>I44*(1+0.05)</f>
        <v>38601.903060000004</v>
      </c>
      <c r="K47" s="73">
        <f>J44*(1+0.05)</f>
        <v>39759.960151799998</v>
      </c>
      <c r="L47" s="73">
        <f>K44*(1+0.045)</f>
        <v>40757.745818466596</v>
      </c>
      <c r="M47" s="73">
        <f t="shared" ref="M47:O47" si="20">L44*(1+0.04)</f>
        <v>41779.61466099658</v>
      </c>
      <c r="N47" s="73">
        <f t="shared" si="20"/>
        <v>43033.003100826478</v>
      </c>
      <c r="O47" s="73">
        <f t="shared" si="20"/>
        <v>44323.993193851275</v>
      </c>
      <c r="P47" s="12"/>
      <c r="Q47" s="12"/>
      <c r="R47" s="12"/>
      <c r="S47" s="12"/>
    </row>
    <row r="48" spans="2:19" x14ac:dyDescent="0.2">
      <c r="B48" s="52" t="s">
        <v>23</v>
      </c>
      <c r="C48" s="12"/>
      <c r="D48" s="12"/>
      <c r="E48" s="12"/>
      <c r="F48" s="12"/>
      <c r="G48" s="12"/>
      <c r="H48" s="73">
        <f>G44*(1+0.01)</f>
        <v>36042.86</v>
      </c>
      <c r="I48" s="73">
        <f>H44*(1+0.02)</f>
        <v>36763.717199999999</v>
      </c>
      <c r="J48" s="73">
        <f>I44*(1+0.03)</f>
        <v>37866.628715999999</v>
      </c>
      <c r="K48" s="73">
        <f t="shared" ref="K48:O48" si="21">J44*(1+0.03)</f>
        <v>39002.627577480001</v>
      </c>
      <c r="L48" s="73">
        <f t="shared" si="21"/>
        <v>40172.706404804405</v>
      </c>
      <c r="M48" s="73">
        <f t="shared" si="21"/>
        <v>41377.887596948538</v>
      </c>
      <c r="N48" s="73">
        <f t="shared" si="21"/>
        <v>42619.224224856996</v>
      </c>
      <c r="O48" s="73">
        <f t="shared" si="21"/>
        <v>43897.800951602709</v>
      </c>
      <c r="P48" s="12"/>
      <c r="Q48" s="12"/>
      <c r="R48" s="12"/>
      <c r="S48" s="12"/>
    </row>
    <row r="49" spans="2:19" x14ac:dyDescent="0.2">
      <c r="B49" s="52" t="s">
        <v>24</v>
      </c>
      <c r="C49" s="12"/>
      <c r="D49" s="12"/>
      <c r="E49" s="12"/>
      <c r="F49" s="12"/>
      <c r="G49" s="12"/>
      <c r="H49" s="73">
        <f>G44*(1+(-0.003))</f>
        <v>35578.942000000003</v>
      </c>
      <c r="I49" s="73">
        <f t="shared" ref="I49:O49" si="22">H44*(1+0.005)</f>
        <v>36223.0743</v>
      </c>
      <c r="J49" s="73">
        <f t="shared" si="22"/>
        <v>36947.535785999993</v>
      </c>
      <c r="K49" s="73">
        <f t="shared" si="22"/>
        <v>38055.961859579998</v>
      </c>
      <c r="L49" s="73">
        <f t="shared" si="22"/>
        <v>39197.640715367401</v>
      </c>
      <c r="M49" s="73">
        <f t="shared" si="22"/>
        <v>40373.569936828426</v>
      </c>
      <c r="N49" s="73">
        <f t="shared" si="22"/>
        <v>41584.777034933279</v>
      </c>
      <c r="O49" s="73">
        <f t="shared" si="22"/>
        <v>42832.320345981279</v>
      </c>
      <c r="P49" s="12"/>
      <c r="Q49" s="12"/>
      <c r="R49" s="12"/>
      <c r="S49" s="12"/>
    </row>
    <row r="50" spans="2:19" x14ac:dyDescent="0.2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spans="2:19" x14ac:dyDescent="0.2">
      <c r="B51" s="52" t="s">
        <v>51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spans="2:19" x14ac:dyDescent="0.2">
      <c r="B52" s="177" t="s">
        <v>148</v>
      </c>
      <c r="C52" s="65"/>
      <c r="D52" s="178">
        <f>D7</f>
        <v>78129</v>
      </c>
      <c r="E52" s="178">
        <f t="shared" ref="E52:F52" si="23">E7</f>
        <v>85200</v>
      </c>
      <c r="F52" s="178">
        <f t="shared" si="23"/>
        <v>96169</v>
      </c>
      <c r="G52" s="178">
        <f>G7</f>
        <v>109158</v>
      </c>
      <c r="H52" s="66">
        <f t="shared" ref="H52:O52" si="24">H7</f>
        <v>124440.12000000001</v>
      </c>
      <c r="I52" s="66">
        <f t="shared" si="24"/>
        <v>140617.33559999999</v>
      </c>
      <c r="J52" s="66">
        <f t="shared" si="24"/>
        <v>157491.41587200001</v>
      </c>
      <c r="K52" s="66">
        <f t="shared" si="24"/>
        <v>174815.47161792003</v>
      </c>
      <c r="L52" s="66">
        <f t="shared" si="24"/>
        <v>192297.01877971206</v>
      </c>
      <c r="M52" s="66">
        <f t="shared" si="24"/>
        <v>209603.75046988617</v>
      </c>
      <c r="N52" s="66">
        <f t="shared" si="24"/>
        <v>228468.08801217595</v>
      </c>
      <c r="O52" s="66">
        <f t="shared" si="24"/>
        <v>246745.53505315006</v>
      </c>
      <c r="P52" s="12"/>
      <c r="Q52" s="12"/>
      <c r="R52" s="12"/>
      <c r="S52" s="12"/>
    </row>
    <row r="53" spans="2:19" x14ac:dyDescent="0.2">
      <c r="B53" s="180" t="s">
        <v>143</v>
      </c>
      <c r="C53" s="91"/>
      <c r="D53" s="91"/>
      <c r="E53" s="91"/>
      <c r="F53" s="91"/>
      <c r="G53" s="184"/>
      <c r="H53" s="185">
        <f t="shared" ref="H53:O53" si="25">H16</f>
        <v>0.14000000000000001</v>
      </c>
      <c r="I53" s="185">
        <f t="shared" si="25"/>
        <v>0.13</v>
      </c>
      <c r="J53" s="185">
        <f t="shared" si="25"/>
        <v>0.12</v>
      </c>
      <c r="K53" s="185">
        <f t="shared" si="25"/>
        <v>0.11</v>
      </c>
      <c r="L53" s="185">
        <f t="shared" si="25"/>
        <v>0.1</v>
      </c>
      <c r="M53" s="185">
        <f t="shared" si="25"/>
        <v>0.09</v>
      </c>
      <c r="N53" s="185">
        <f t="shared" si="25"/>
        <v>0.09</v>
      </c>
      <c r="O53" s="185">
        <f t="shared" si="25"/>
        <v>0.08</v>
      </c>
      <c r="P53" s="12"/>
      <c r="Q53" s="12"/>
      <c r="R53" s="12"/>
      <c r="S53" s="12"/>
    </row>
    <row r="54" spans="2:19" x14ac:dyDescent="0.2">
      <c r="B54" s="186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spans="2:19" x14ac:dyDescent="0.2">
      <c r="B55" s="52" t="s">
        <v>22</v>
      </c>
      <c r="C55" s="12"/>
      <c r="D55" s="12"/>
      <c r="E55" s="12"/>
      <c r="F55" s="12"/>
      <c r="G55" s="12"/>
      <c r="H55" s="73">
        <f>G52*(1+0.16)</f>
        <v>126623.27999999998</v>
      </c>
      <c r="I55" s="73">
        <f>H52*(1+0.15)</f>
        <v>143106.13800000001</v>
      </c>
      <c r="J55" s="73">
        <f>I52*(1+0.14)</f>
        <v>160303.76258400001</v>
      </c>
      <c r="K55" s="73">
        <f>J52*(1+0.13)</f>
        <v>177965.29993536</v>
      </c>
      <c r="L55" s="73">
        <f>K52*(1+0.12)</f>
        <v>195793.32821207045</v>
      </c>
      <c r="M55" s="73">
        <f>L52*(1+0.11)</f>
        <v>213449.69084548039</v>
      </c>
      <c r="N55" s="73">
        <f>M52*(1+0.1)</f>
        <v>230564.1255168748</v>
      </c>
      <c r="O55" s="73">
        <f>N52*(1+0.09)</f>
        <v>249030.2159332718</v>
      </c>
      <c r="P55" s="12"/>
      <c r="Q55" s="12"/>
      <c r="R55" s="12"/>
      <c r="S55" s="12"/>
    </row>
    <row r="56" spans="2:19" x14ac:dyDescent="0.2">
      <c r="B56" s="52" t="s">
        <v>23</v>
      </c>
      <c r="C56" s="12"/>
      <c r="D56" s="12"/>
      <c r="E56" s="12"/>
      <c r="F56" s="12"/>
      <c r="G56" s="12"/>
      <c r="H56" s="73">
        <f>G52*(1+0.14)</f>
        <v>124440.12000000001</v>
      </c>
      <c r="I56" s="73">
        <f>H52*(1+0.13)</f>
        <v>140617.33559999999</v>
      </c>
      <c r="J56" s="73">
        <f>I52*(1+0.12)</f>
        <v>157491.41587200001</v>
      </c>
      <c r="K56" s="73">
        <f>J52*(1+0.11)</f>
        <v>174815.47161792003</v>
      </c>
      <c r="L56" s="73">
        <f>K52*(1+0.1)</f>
        <v>192297.01877971206</v>
      </c>
      <c r="M56" s="73">
        <f>L52*(1+0.09)</f>
        <v>209603.75046988617</v>
      </c>
      <c r="N56" s="73">
        <f t="shared" ref="N56" si="26">M52*(1+0.09)</f>
        <v>228468.08801217595</v>
      </c>
      <c r="O56" s="73">
        <f>N52*(1+0.08)</f>
        <v>246745.53505315006</v>
      </c>
      <c r="P56" s="12"/>
      <c r="Q56" s="12"/>
      <c r="R56" s="12"/>
      <c r="S56" s="12"/>
    </row>
    <row r="57" spans="2:19" x14ac:dyDescent="0.2">
      <c r="B57" s="52" t="s">
        <v>24</v>
      </c>
      <c r="C57" s="12"/>
      <c r="D57" s="12"/>
      <c r="E57" s="12"/>
      <c r="F57" s="12"/>
      <c r="G57" s="12"/>
      <c r="H57" s="73">
        <f>G52*(1+0.08)</f>
        <v>117890.64000000001</v>
      </c>
      <c r="I57" s="73">
        <f t="shared" ref="I57:K57" si="27">H52*(1+0.08)</f>
        <v>134395.32960000003</v>
      </c>
      <c r="J57" s="73">
        <f t="shared" si="27"/>
        <v>151866.72244800001</v>
      </c>
      <c r="K57" s="73">
        <f t="shared" si="27"/>
        <v>170090.72914176004</v>
      </c>
      <c r="L57" s="73">
        <f>K52*(1+0.07)</f>
        <v>187052.55463117445</v>
      </c>
      <c r="M57" s="73">
        <f>L52*(1+0.07)</f>
        <v>205757.81009429193</v>
      </c>
      <c r="N57" s="73">
        <f>M52*(1+0.06)</f>
        <v>222179.97549807935</v>
      </c>
      <c r="O57" s="73">
        <f>N52*(1+0.06)</f>
        <v>242176.17329290652</v>
      </c>
      <c r="P57" s="12"/>
      <c r="Q57" s="12"/>
      <c r="R57" s="12"/>
      <c r="S57" s="12"/>
    </row>
    <row r="58" spans="2:19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spans="2:19" x14ac:dyDescent="0.2">
      <c r="B59" s="17" t="s">
        <v>265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2"/>
      <c r="Q59" s="12"/>
      <c r="R59" s="12"/>
      <c r="S59" s="12"/>
    </row>
    <row r="60" spans="2:19" ht="17" thickBot="1" x14ac:dyDescent="0.25">
      <c r="B60" s="187" t="s">
        <v>266</v>
      </c>
      <c r="C60" s="143"/>
      <c r="D60" s="144">
        <f>D20+D28+D36+D44+D52</f>
        <v>394328</v>
      </c>
      <c r="E60" s="144">
        <f t="shared" ref="E60:O60" si="28">E20+E28+E36+E44+E52</f>
        <v>383285</v>
      </c>
      <c r="F60" s="144">
        <f t="shared" si="28"/>
        <v>391035</v>
      </c>
      <c r="G60" s="144">
        <f t="shared" si="28"/>
        <v>416161</v>
      </c>
      <c r="H60" s="144">
        <f t="shared" si="28"/>
        <v>444094.52</v>
      </c>
      <c r="I60" s="144">
        <f t="shared" si="28"/>
        <v>468831.82485000003</v>
      </c>
      <c r="J60" s="144">
        <f t="shared" si="28"/>
        <v>494363.43136125</v>
      </c>
      <c r="K60" s="144">
        <f t="shared" si="28"/>
        <v>519090.03318394499</v>
      </c>
      <c r="L60" s="144">
        <f t="shared" si="28"/>
        <v>543949.11684349261</v>
      </c>
      <c r="M60" s="144">
        <f t="shared" si="28"/>
        <v>567452.31045287731</v>
      </c>
      <c r="N60" s="144">
        <f t="shared" si="28"/>
        <v>592427.11482980987</v>
      </c>
      <c r="O60" s="144">
        <f t="shared" si="28"/>
        <v>616934.4846372226</v>
      </c>
      <c r="P60" s="12"/>
      <c r="Q60" s="12"/>
      <c r="R60" s="12"/>
      <c r="S60" s="12"/>
    </row>
    <row r="61" spans="2:19" x14ac:dyDescent="0.2">
      <c r="B61" s="12" t="s">
        <v>267</v>
      </c>
      <c r="C61" s="12"/>
      <c r="D61" s="12"/>
      <c r="E61" s="74">
        <f>(E60-D60)/D60</f>
        <v>-2.8004605303199367E-2</v>
      </c>
      <c r="F61" s="74">
        <f t="shared" ref="F61:O61" si="29">(F60-E60)/E60</f>
        <v>2.0219940775141214E-2</v>
      </c>
      <c r="G61" s="74">
        <f t="shared" si="29"/>
        <v>6.4255117828327393E-2</v>
      </c>
      <c r="H61" s="74">
        <f t="shared" si="29"/>
        <v>6.7121907146513046E-2</v>
      </c>
      <c r="I61" s="74">
        <f t="shared" si="29"/>
        <v>5.5702792392034052E-2</v>
      </c>
      <c r="J61" s="74">
        <f t="shared" si="29"/>
        <v>5.4457921066725049E-2</v>
      </c>
      <c r="K61" s="74">
        <f t="shared" si="29"/>
        <v>5.0017052747225427E-2</v>
      </c>
      <c r="L61" s="74">
        <f t="shared" si="29"/>
        <v>4.7889734093080796E-2</v>
      </c>
      <c r="M61" s="74">
        <f t="shared" si="29"/>
        <v>4.3208441528083487E-2</v>
      </c>
      <c r="N61" s="74">
        <f t="shared" si="29"/>
        <v>4.4012164400212682E-2</v>
      </c>
      <c r="O61" s="74">
        <f t="shared" si="29"/>
        <v>4.1367738231314941E-2</v>
      </c>
      <c r="P61" s="12"/>
      <c r="Q61" s="12"/>
      <c r="R61" s="12"/>
      <c r="S61" s="12"/>
    </row>
    <row r="62" spans="2:19" ht="21" x14ac:dyDescent="0.25">
      <c r="B62" s="188"/>
      <c r="C62" s="188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 spans="2:19" x14ac:dyDescent="0.2">
      <c r="B63" s="12" t="s">
        <v>268</v>
      </c>
      <c r="C63" s="12"/>
      <c r="D63" s="39">
        <f>D52/D60</f>
        <v>0.19813201192915542</v>
      </c>
      <c r="E63" s="39">
        <f t="shared" ref="E63:O63" si="30">E52/E60</f>
        <v>0.222288897295746</v>
      </c>
      <c r="F63" s="39">
        <f t="shared" si="30"/>
        <v>0.24593450714130449</v>
      </c>
      <c r="G63" s="39">
        <f t="shared" si="30"/>
        <v>0.26229752427546071</v>
      </c>
      <c r="H63" s="39">
        <f t="shared" si="30"/>
        <v>0.28021088843879455</v>
      </c>
      <c r="I63" s="39">
        <f t="shared" si="30"/>
        <v>0.29993129336940744</v>
      </c>
      <c r="J63" s="39">
        <f t="shared" si="30"/>
        <v>0.31857416200535088</v>
      </c>
      <c r="K63" s="39">
        <f t="shared" si="30"/>
        <v>0.33677293040217621</v>
      </c>
      <c r="L63" s="39">
        <f t="shared" si="30"/>
        <v>0.3535202334652206</v>
      </c>
      <c r="M63" s="39">
        <f t="shared" si="30"/>
        <v>0.36937685618480215</v>
      </c>
      <c r="N63" s="39">
        <f t="shared" si="30"/>
        <v>0.38564758818949291</v>
      </c>
      <c r="O63" s="39">
        <f t="shared" si="30"/>
        <v>0.39995419480926636</v>
      </c>
      <c r="P63" s="12"/>
      <c r="Q63" s="12"/>
      <c r="R63" s="12"/>
      <c r="S63" s="12"/>
    </row>
    <row r="64" spans="2:19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spans="2:19" x14ac:dyDescent="0.2">
      <c r="B65" s="12" t="s">
        <v>269</v>
      </c>
      <c r="C65" s="12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12"/>
      <c r="Q65" s="12"/>
      <c r="R65" s="12"/>
      <c r="S65" s="12"/>
    </row>
    <row r="66" spans="2:19" x14ac:dyDescent="0.2">
      <c r="B66" s="189" t="s">
        <v>270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 spans="2:19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</row>
    <row r="68" spans="2:19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</row>
    <row r="69" spans="2:19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</row>
    <row r="70" spans="2:19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</row>
    <row r="71" spans="2:19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 spans="2:19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</row>
    <row r="73" spans="2:19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</row>
    <row r="74" spans="2:19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spans="2:19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2:19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2:19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spans="2:19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spans="2:19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spans="2:19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</row>
    <row r="81" spans="2:19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 spans="2:19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</row>
    <row r="83" spans="2:19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 spans="2:19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 spans="2:19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spans="2:19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  <row r="87" spans="2:19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2:19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2:19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spans="2:19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</row>
    <row r="91" spans="2:19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</row>
    <row r="92" spans="2:19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</row>
    <row r="93" spans="2:19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</row>
    <row r="94" spans="2:19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</row>
    <row r="95" spans="2:19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</row>
    <row r="96" spans="2:19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</row>
    <row r="97" spans="2:19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</row>
    <row r="98" spans="2:19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</row>
    <row r="99" spans="2:19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 spans="2:19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</row>
    <row r="101" spans="2:19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</row>
    <row r="102" spans="2:19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</row>
    <row r="103" spans="2:19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 spans="2:19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</row>
    <row r="105" spans="2:19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 spans="2:19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</row>
    <row r="107" spans="2:19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</row>
    <row r="108" spans="2:19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</row>
    <row r="109" spans="2:19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</row>
    <row r="110" spans="2:19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</row>
    <row r="111" spans="2:19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</row>
    <row r="112" spans="2:19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</row>
    <row r="113" spans="2:19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</row>
    <row r="114" spans="2:19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</row>
    <row r="115" spans="2:19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</row>
    <row r="116" spans="2:19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</row>
    <row r="117" spans="2:19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</row>
    <row r="118" spans="2:19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</row>
    <row r="119" spans="2:19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</row>
    <row r="120" spans="2:19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</row>
    <row r="121" spans="2:19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</row>
    <row r="122" spans="2:19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</row>
    <row r="123" spans="2:19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</row>
    <row r="124" spans="2:19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</row>
    <row r="125" spans="2:19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</row>
    <row r="126" spans="2:19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</row>
    <row r="127" spans="2:19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</row>
    <row r="128" spans="2:19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</row>
    <row r="129" spans="2:19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</row>
    <row r="130" spans="2:19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</row>
    <row r="131" spans="2:19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</row>
    <row r="132" spans="2:19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</row>
    <row r="133" spans="2:19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</row>
    <row r="134" spans="2:19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 spans="2:19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</row>
    <row r="136" spans="2:19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</row>
    <row r="137" spans="2:19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</row>
    <row r="138" spans="2:19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</row>
    <row r="139" spans="2:19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</row>
    <row r="140" spans="2:19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</row>
    <row r="141" spans="2:19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</row>
    <row r="142" spans="2:19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</row>
    <row r="143" spans="2:19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</row>
    <row r="144" spans="2:19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</row>
    <row r="145" spans="2:19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</row>
    <row r="146" spans="2:19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</row>
    <row r="147" spans="2:19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</row>
    <row r="148" spans="2:19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</row>
    <row r="149" spans="2:19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</row>
    <row r="150" spans="2:19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</row>
    <row r="151" spans="2:19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</row>
    <row r="152" spans="2:19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</row>
    <row r="153" spans="2:19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</row>
    <row r="154" spans="2:19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</row>
    <row r="155" spans="2:19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</row>
    <row r="156" spans="2:19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</row>
    <row r="157" spans="2:19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</row>
    <row r="158" spans="2:19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</row>
    <row r="159" spans="2:19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</row>
    <row r="160" spans="2:19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</row>
    <row r="161" spans="2:19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</row>
    <row r="162" spans="2:19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</row>
    <row r="163" spans="2:19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</row>
    <row r="164" spans="2:19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</row>
    <row r="165" spans="2:19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</row>
    <row r="166" spans="2:19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</row>
    <row r="167" spans="2:19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</row>
    <row r="168" spans="2:19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</row>
    <row r="169" spans="2:19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</row>
    <row r="170" spans="2:19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</row>
    <row r="171" spans="2:19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</row>
    <row r="172" spans="2:19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</row>
    <row r="173" spans="2:19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</row>
    <row r="174" spans="2:19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</row>
    <row r="175" spans="2:19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</row>
    <row r="176" spans="2:19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</row>
    <row r="177" spans="2:19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</row>
    <row r="178" spans="2:19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</row>
    <row r="179" spans="2:19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</row>
    <row r="180" spans="2:19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</row>
    <row r="181" spans="2:19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</row>
    <row r="182" spans="2:19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</row>
    <row r="183" spans="2:19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</row>
    <row r="184" spans="2:19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</row>
    <row r="185" spans="2:19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</row>
    <row r="186" spans="2:19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</row>
    <row r="187" spans="2:19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</row>
    <row r="188" spans="2:19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</row>
    <row r="189" spans="2:19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</row>
    <row r="190" spans="2:19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</row>
    <row r="191" spans="2:19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</row>
    <row r="192" spans="2:19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</row>
    <row r="193" spans="2:19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</row>
    <row r="194" spans="2:19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</row>
    <row r="195" spans="2:19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</row>
    <row r="196" spans="2:19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</row>
    <row r="197" spans="2:19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</row>
    <row r="198" spans="2:19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</row>
    <row r="199" spans="2:19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</row>
    <row r="200" spans="2:19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</row>
    <row r="201" spans="2:19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</row>
    <row r="202" spans="2:19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</row>
    <row r="203" spans="2:19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</row>
    <row r="204" spans="2:19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</row>
    <row r="205" spans="2:19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</row>
    <row r="206" spans="2:19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</row>
    <row r="207" spans="2:19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</row>
    <row r="208" spans="2:19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</row>
    <row r="209" spans="2:19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</row>
    <row r="210" spans="2:19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</row>
    <row r="211" spans="2:19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</row>
    <row r="212" spans="2:19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</row>
    <row r="213" spans="2:19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</row>
    <row r="214" spans="2:19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</row>
    <row r="215" spans="2:19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</row>
    <row r="216" spans="2:19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</row>
    <row r="217" spans="2:19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</row>
    <row r="218" spans="2:19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</row>
    <row r="219" spans="2:19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</row>
    <row r="220" spans="2:19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</row>
    <row r="221" spans="2:19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</row>
    <row r="222" spans="2:19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</row>
    <row r="223" spans="2:19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</row>
    <row r="224" spans="2:19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</row>
    <row r="225" spans="2:19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</row>
    <row r="226" spans="2:19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</row>
    <row r="227" spans="2:19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</row>
    <row r="228" spans="2:19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</row>
    <row r="229" spans="2:19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</row>
    <row r="230" spans="2:19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</row>
    <row r="231" spans="2:19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</row>
    <row r="232" spans="2:19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</row>
    <row r="233" spans="2:19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</row>
    <row r="234" spans="2:19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</row>
    <row r="235" spans="2:19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</row>
    <row r="236" spans="2:19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</row>
    <row r="237" spans="2:19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</row>
    <row r="238" spans="2:19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</row>
    <row r="239" spans="2:19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</row>
    <row r="240" spans="2:19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</row>
    <row r="241" spans="2:19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</row>
    <row r="242" spans="2:19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</row>
    <row r="243" spans="2:19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</row>
    <row r="244" spans="2:19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</row>
    <row r="245" spans="2:19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</row>
    <row r="246" spans="2:19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</row>
    <row r="247" spans="2:19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</row>
    <row r="248" spans="2:19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</row>
    <row r="249" spans="2:19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</row>
    <row r="250" spans="2:19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</row>
    <row r="251" spans="2:19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</row>
    <row r="252" spans="2:19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</row>
    <row r="253" spans="2:19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</row>
    <row r="254" spans="2:19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</row>
    <row r="255" spans="2:19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</row>
    <row r="256" spans="2:19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</row>
    <row r="257" spans="2:19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</row>
    <row r="258" spans="2:19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</row>
    <row r="259" spans="2:19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</row>
    <row r="260" spans="2:19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</row>
    <row r="261" spans="2:19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</row>
    <row r="262" spans="2:19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</row>
    <row r="263" spans="2:19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</row>
    <row r="264" spans="2:19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</row>
    <row r="265" spans="2:19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</row>
    <row r="266" spans="2:19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</row>
    <row r="267" spans="2:19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</row>
    <row r="268" spans="2:19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</row>
    <row r="269" spans="2:19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</row>
    <row r="270" spans="2:19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</row>
    <row r="271" spans="2:19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</row>
    <row r="272" spans="2:19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</row>
    <row r="273" spans="2:19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</row>
    <row r="274" spans="2:19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</row>
    <row r="275" spans="2:19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</row>
    <row r="276" spans="2:19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</row>
    <row r="277" spans="2:19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</row>
    <row r="278" spans="2:19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</row>
    <row r="279" spans="2:19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</row>
    <row r="280" spans="2:19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</row>
    <row r="281" spans="2:19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</row>
    <row r="282" spans="2:19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</row>
    <row r="283" spans="2:19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</row>
    <row r="284" spans="2:19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</row>
    <row r="285" spans="2:19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</row>
    <row r="286" spans="2:19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</row>
    <row r="287" spans="2:19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</row>
    <row r="288" spans="2:19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</row>
    <row r="289" spans="2:19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</row>
    <row r="290" spans="2:19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</row>
    <row r="291" spans="2:19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</row>
    <row r="292" spans="2:19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</row>
    <row r="293" spans="2:19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</row>
    <row r="294" spans="2:19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</row>
    <row r="295" spans="2:19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</row>
    <row r="296" spans="2:19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</row>
    <row r="297" spans="2:19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</row>
    <row r="298" spans="2:19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</row>
    <row r="299" spans="2:19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</row>
    <row r="300" spans="2:19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</row>
    <row r="301" spans="2:19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</row>
    <row r="302" spans="2:19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</row>
    <row r="303" spans="2:19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</row>
    <row r="304" spans="2:19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</row>
    <row r="305" spans="2:19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</row>
    <row r="306" spans="2:19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</row>
    <row r="307" spans="2:19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</row>
    <row r="308" spans="2:19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</row>
    <row r="309" spans="2:19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</row>
    <row r="310" spans="2:19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</row>
    <row r="311" spans="2:19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</row>
    <row r="312" spans="2:19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</row>
    <row r="313" spans="2:19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</row>
    <row r="314" spans="2:19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</row>
    <row r="315" spans="2:19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</row>
    <row r="316" spans="2:19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</row>
    <row r="317" spans="2:19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</row>
    <row r="318" spans="2:19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</row>
    <row r="319" spans="2:19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</row>
    <row r="320" spans="2:19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</row>
    <row r="321" spans="2:19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</row>
    <row r="322" spans="2:19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</row>
    <row r="323" spans="2:19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</row>
    <row r="324" spans="2:19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</row>
    <row r="325" spans="2:19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</row>
    <row r="326" spans="2:19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</row>
    <row r="327" spans="2:19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</row>
    <row r="328" spans="2:19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</row>
    <row r="329" spans="2:19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</row>
    <row r="330" spans="2:19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</row>
    <row r="331" spans="2:19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</row>
    <row r="332" spans="2:19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</row>
    <row r="333" spans="2:19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</row>
    <row r="334" spans="2:19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</row>
    <row r="335" spans="2:19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</row>
    <row r="336" spans="2:19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</row>
    <row r="337" spans="2:19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</row>
    <row r="338" spans="2:19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</row>
    <row r="339" spans="2:19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</row>
    <row r="340" spans="2:19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</row>
    <row r="341" spans="2:19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</row>
    <row r="342" spans="2:19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</row>
    <row r="343" spans="2:19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</row>
    <row r="344" spans="2:19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</row>
    <row r="345" spans="2:19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</row>
    <row r="346" spans="2:19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</row>
    <row r="347" spans="2:19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</row>
    <row r="348" spans="2:19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</row>
    <row r="349" spans="2:19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</row>
    <row r="350" spans="2:19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</row>
    <row r="351" spans="2:19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</row>
    <row r="352" spans="2:19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</row>
    <row r="353" spans="2:19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</row>
    <row r="354" spans="2:19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</row>
    <row r="355" spans="2:19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</row>
    <row r="356" spans="2:19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</row>
    <row r="357" spans="2:19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</row>
    <row r="358" spans="2:19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</row>
    <row r="359" spans="2:19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</row>
    <row r="360" spans="2:19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</row>
    <row r="361" spans="2:19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</row>
    <row r="362" spans="2:19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</row>
    <row r="363" spans="2:19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</row>
    <row r="364" spans="2:19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</row>
    <row r="365" spans="2:19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</row>
    <row r="366" spans="2:19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</row>
    <row r="367" spans="2:19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</row>
    <row r="368" spans="2:19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</row>
    <row r="369" spans="2:19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</row>
    <row r="370" spans="2:19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</row>
    <row r="371" spans="2:19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</row>
    <row r="372" spans="2:19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</row>
    <row r="373" spans="2:19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</row>
    <row r="374" spans="2:19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</row>
    <row r="375" spans="2:19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</row>
    <row r="376" spans="2:19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</row>
    <row r="377" spans="2:19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</row>
    <row r="378" spans="2:19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</row>
    <row r="379" spans="2:19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</row>
    <row r="380" spans="2:19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</row>
    <row r="381" spans="2:19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</row>
    <row r="382" spans="2:19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</row>
    <row r="383" spans="2:19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</row>
    <row r="384" spans="2:19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</row>
    <row r="385" spans="2:19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</row>
    <row r="386" spans="2:19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</row>
    <row r="387" spans="2:19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</row>
    <row r="388" spans="2:19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</row>
    <row r="389" spans="2:19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</row>
    <row r="390" spans="2:19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</row>
    <row r="391" spans="2:19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</row>
    <row r="392" spans="2:19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</row>
    <row r="393" spans="2:19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</row>
    <row r="394" spans="2:19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</row>
    <row r="395" spans="2:19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</row>
    <row r="396" spans="2:19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</row>
    <row r="397" spans="2:19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</row>
    <row r="398" spans="2:19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</row>
    <row r="399" spans="2:19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</row>
    <row r="400" spans="2:19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</row>
    <row r="401" spans="2:19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</row>
    <row r="402" spans="2:19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</row>
    <row r="403" spans="2:19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</row>
    <row r="404" spans="2:19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</row>
    <row r="405" spans="2:19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</row>
    <row r="406" spans="2:19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</row>
    <row r="407" spans="2:19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</row>
    <row r="408" spans="2:19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</row>
    <row r="409" spans="2:19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</row>
    <row r="410" spans="2:19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</row>
    <row r="411" spans="2:19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</row>
    <row r="412" spans="2:19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</row>
    <row r="413" spans="2:19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</row>
    <row r="414" spans="2:19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</row>
    <row r="415" spans="2:19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</row>
    <row r="416" spans="2:19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</row>
    <row r="417" spans="2:19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</row>
    <row r="418" spans="2:19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</row>
    <row r="419" spans="2:19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</row>
    <row r="420" spans="2:19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</row>
    <row r="421" spans="2:19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</row>
    <row r="422" spans="2:19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</row>
    <row r="423" spans="2:19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</row>
    <row r="424" spans="2:19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</row>
    <row r="425" spans="2:19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</row>
    <row r="426" spans="2:19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</row>
    <row r="427" spans="2:19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</row>
    <row r="428" spans="2:19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</row>
    <row r="429" spans="2:19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</row>
    <row r="430" spans="2:19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</row>
    <row r="431" spans="2:19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</row>
    <row r="432" spans="2:19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</row>
    <row r="433" spans="2:19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</row>
    <row r="434" spans="2:19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</row>
    <row r="435" spans="2:19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</row>
    <row r="436" spans="2:19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</row>
    <row r="437" spans="2:19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</row>
    <row r="438" spans="2:19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</row>
    <row r="439" spans="2:19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</row>
    <row r="440" spans="2:19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</row>
    <row r="441" spans="2:19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</row>
    <row r="442" spans="2:19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</row>
    <row r="443" spans="2:19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</row>
    <row r="444" spans="2:19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</row>
    <row r="445" spans="2:19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</row>
    <row r="446" spans="2:19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</row>
    <row r="447" spans="2:19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</row>
    <row r="448" spans="2:19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</row>
    <row r="449" spans="2:19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</row>
    <row r="450" spans="2:19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</row>
    <row r="451" spans="2:19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</row>
    <row r="452" spans="2:19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</row>
    <row r="453" spans="2:19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</row>
    <row r="454" spans="2:19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</row>
    <row r="455" spans="2:19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</row>
    <row r="456" spans="2:19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</row>
    <row r="457" spans="2:19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</row>
    <row r="458" spans="2:19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</row>
    <row r="459" spans="2:19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</row>
    <row r="460" spans="2:19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</row>
    <row r="461" spans="2:19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</row>
    <row r="462" spans="2:19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</row>
    <row r="463" spans="2:19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</row>
    <row r="464" spans="2:19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</row>
    <row r="465" spans="2:19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</row>
    <row r="466" spans="2:19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</row>
    <row r="467" spans="2:19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</row>
    <row r="468" spans="2:19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</row>
    <row r="469" spans="2:19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</row>
    <row r="470" spans="2:19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</row>
    <row r="471" spans="2:19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</row>
    <row r="472" spans="2:19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</row>
    <row r="473" spans="2:19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</row>
    <row r="474" spans="2:19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</row>
  </sheetData>
  <pageMargins left="0.7" right="0.7" top="0.75" bottom="0.75" header="0.3" footer="0.3"/>
  <pageSetup paperSize="9" orientation="portrait" horizontalDpi="0" verticalDpi="0"/>
  <ignoredErrors>
    <ignoredError sqref="I32 I4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EA99-668E-2C43-9322-0B7F7579F00A}">
  <dimension ref="B2:S145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8" sqref="D18"/>
    </sheetView>
  </sheetViews>
  <sheetFormatPr baseColWidth="10" defaultRowHeight="16" x14ac:dyDescent="0.2"/>
  <cols>
    <col min="1" max="1" width="4.5" customWidth="1"/>
    <col min="2" max="2" width="38.6640625" customWidth="1"/>
    <col min="3" max="3" width="8.1640625" customWidth="1"/>
    <col min="4" max="4" width="13" bestFit="1" customWidth="1"/>
    <col min="5" max="5" width="13" customWidth="1"/>
    <col min="6" max="7" width="13" bestFit="1" customWidth="1"/>
    <col min="8" max="8" width="12.6640625" bestFit="1" customWidth="1"/>
    <col min="9" max="13" width="12.33203125" bestFit="1" customWidth="1"/>
    <col min="14" max="15" width="12" bestFit="1" customWidth="1"/>
  </cols>
  <sheetData>
    <row r="2" spans="2:19" ht="26" x14ac:dyDescent="0.3">
      <c r="B2" s="283" t="str">
        <f>"Income Statement of " &amp; Cover!F5</f>
        <v>Income Statement of Apple Inc.</v>
      </c>
      <c r="C2" s="283"/>
      <c r="D2" s="28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2"/>
      <c r="Q2" s="12"/>
      <c r="R2" s="12"/>
      <c r="S2" s="12"/>
    </row>
    <row r="3" spans="2:19" x14ac:dyDescent="0.2">
      <c r="B3" s="43"/>
      <c r="C3" s="43"/>
      <c r="D3" s="82">
        <v>2022</v>
      </c>
      <c r="E3" s="82">
        <f t="shared" ref="E3:O3" si="0">D3+1</f>
        <v>2023</v>
      </c>
      <c r="F3" s="82">
        <f t="shared" si="0"/>
        <v>2024</v>
      </c>
      <c r="G3" s="82">
        <f t="shared" si="0"/>
        <v>2025</v>
      </c>
      <c r="H3" s="83">
        <f t="shared" si="0"/>
        <v>2026</v>
      </c>
      <c r="I3" s="83">
        <f t="shared" si="0"/>
        <v>2027</v>
      </c>
      <c r="J3" s="83">
        <f t="shared" si="0"/>
        <v>2028</v>
      </c>
      <c r="K3" s="83">
        <f t="shared" si="0"/>
        <v>2029</v>
      </c>
      <c r="L3" s="83">
        <f t="shared" si="0"/>
        <v>2030</v>
      </c>
      <c r="M3" s="83">
        <f t="shared" si="0"/>
        <v>2031</v>
      </c>
      <c r="N3" s="83">
        <f t="shared" si="0"/>
        <v>2032</v>
      </c>
      <c r="O3" s="83">
        <f t="shared" si="0"/>
        <v>2033</v>
      </c>
      <c r="P3" s="12"/>
      <c r="Q3" s="12"/>
      <c r="R3" s="12"/>
      <c r="S3" s="12"/>
    </row>
    <row r="4" spans="2:19" x14ac:dyDescent="0.2">
      <c r="B4" s="14" t="s">
        <v>94</v>
      </c>
      <c r="C4" s="44"/>
      <c r="D4" s="100"/>
      <c r="E4" s="100"/>
      <c r="F4" s="100"/>
      <c r="G4" s="101"/>
      <c r="H4" s="101"/>
      <c r="I4" s="101"/>
      <c r="J4" s="101"/>
      <c r="K4" s="101"/>
      <c r="L4" s="101"/>
      <c r="M4" s="12"/>
      <c r="N4" s="12"/>
      <c r="O4" s="12"/>
      <c r="P4" s="12"/>
      <c r="Q4" s="12"/>
      <c r="R4" s="12"/>
      <c r="S4" s="12"/>
    </row>
    <row r="5" spans="2:19" x14ac:dyDescent="0.2">
      <c r="B5" s="5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2:19" x14ac:dyDescent="0.2">
      <c r="B6" s="52" t="s">
        <v>38</v>
      </c>
      <c r="C6" s="12"/>
      <c r="D6" s="108">
        <v>316199</v>
      </c>
      <c r="E6" s="108">
        <v>298085</v>
      </c>
      <c r="F6" s="108">
        <v>294866</v>
      </c>
      <c r="G6" s="27">
        <v>307003</v>
      </c>
      <c r="H6" s="73">
        <f>'Revenue Build'!H3+'Revenue Build'!H4+'Revenue Build'!H5+'Revenue Build'!H6</f>
        <v>319654.40000000002</v>
      </c>
      <c r="I6" s="73">
        <f>'Revenue Build'!I3+'Revenue Build'!I4+'Revenue Build'!I5+'Revenue Build'!I6</f>
        <v>328214.48925000004</v>
      </c>
      <c r="J6" s="73">
        <f>'Revenue Build'!J3+'Revenue Build'!J4+'Revenue Build'!J5+'Revenue Build'!J6</f>
        <v>336872.01548925001</v>
      </c>
      <c r="K6" s="73">
        <f>'Revenue Build'!K3+'Revenue Build'!K4+'Revenue Build'!K5+'Revenue Build'!K6</f>
        <v>344274.56156602496</v>
      </c>
      <c r="L6" s="73">
        <f>'Revenue Build'!L3+'Revenue Build'!L4+'Revenue Build'!L5+'Revenue Build'!L6</f>
        <v>351652.09806378058</v>
      </c>
      <c r="M6" s="73">
        <f>'Revenue Build'!M3+'Revenue Build'!M4+'Revenue Build'!M5+'Revenue Build'!M6</f>
        <v>357848.5599829912</v>
      </c>
      <c r="N6" s="73">
        <f>'Revenue Build'!N3+'Revenue Build'!N4+'Revenue Build'!N5+'Revenue Build'!N6</f>
        <v>363959.02681763389</v>
      </c>
      <c r="O6" s="73">
        <f>'Revenue Build'!O3+'Revenue Build'!O4+'Revenue Build'!O5+'Revenue Build'!O6</f>
        <v>370188.94958407251</v>
      </c>
      <c r="P6" s="12"/>
      <c r="Q6" s="12"/>
      <c r="R6" s="12"/>
      <c r="S6" s="12"/>
    </row>
    <row r="7" spans="2:19" x14ac:dyDescent="0.2">
      <c r="B7" s="12" t="s">
        <v>39</v>
      </c>
      <c r="C7" s="12"/>
      <c r="D7" s="108">
        <v>78129</v>
      </c>
      <c r="E7" s="108">
        <v>85200</v>
      </c>
      <c r="F7" s="27">
        <v>96169</v>
      </c>
      <c r="G7" s="108">
        <v>109158</v>
      </c>
      <c r="H7" s="73">
        <f>'Revenue Build'!H7</f>
        <v>124440.12000000001</v>
      </c>
      <c r="I7" s="73">
        <f>'Revenue Build'!I7</f>
        <v>140617.33559999999</v>
      </c>
      <c r="J7" s="73">
        <f>'Revenue Build'!J7</f>
        <v>157491.41587200001</v>
      </c>
      <c r="K7" s="73">
        <f>'Revenue Build'!K7</f>
        <v>174815.47161792003</v>
      </c>
      <c r="L7" s="73">
        <f>'Revenue Build'!L7</f>
        <v>192297.01877971206</v>
      </c>
      <c r="M7" s="73">
        <f>'Revenue Build'!M7</f>
        <v>209603.75046988617</v>
      </c>
      <c r="N7" s="73">
        <f>'Revenue Build'!N7</f>
        <v>228468.08801217595</v>
      </c>
      <c r="O7" s="73">
        <f>'Revenue Build'!O7</f>
        <v>246745.53505315006</v>
      </c>
      <c r="P7" s="12"/>
      <c r="Q7" s="12"/>
      <c r="R7" s="12"/>
      <c r="S7" s="12"/>
    </row>
    <row r="8" spans="2:19" x14ac:dyDescent="0.2">
      <c r="B8" s="129" t="s">
        <v>40</v>
      </c>
      <c r="C8" s="129"/>
      <c r="D8" s="76">
        <f t="shared" ref="D8:O8" si="1">D6+D7</f>
        <v>394328</v>
      </c>
      <c r="E8" s="76">
        <f t="shared" si="1"/>
        <v>383285</v>
      </c>
      <c r="F8" s="76">
        <f t="shared" si="1"/>
        <v>391035</v>
      </c>
      <c r="G8" s="76">
        <f t="shared" si="1"/>
        <v>416161</v>
      </c>
      <c r="H8" s="76">
        <f t="shared" si="1"/>
        <v>444094.52</v>
      </c>
      <c r="I8" s="76">
        <f t="shared" si="1"/>
        <v>468831.82485000003</v>
      </c>
      <c r="J8" s="76">
        <f t="shared" si="1"/>
        <v>494363.43136125</v>
      </c>
      <c r="K8" s="76">
        <f t="shared" si="1"/>
        <v>519090.03318394499</v>
      </c>
      <c r="L8" s="76">
        <f t="shared" si="1"/>
        <v>543949.11684349261</v>
      </c>
      <c r="M8" s="76">
        <f t="shared" si="1"/>
        <v>567452.31045287731</v>
      </c>
      <c r="N8" s="76">
        <f t="shared" si="1"/>
        <v>592427.11482980987</v>
      </c>
      <c r="O8" s="76">
        <f t="shared" si="1"/>
        <v>616934.4846372226</v>
      </c>
      <c r="P8" s="12"/>
      <c r="Q8" s="12"/>
      <c r="R8" s="12"/>
      <c r="S8" s="12"/>
    </row>
    <row r="9" spans="2:19" x14ac:dyDescent="0.2">
      <c r="B9" s="35"/>
      <c r="C9" s="35"/>
      <c r="D9" s="164"/>
      <c r="E9" s="164"/>
      <c r="F9" s="164"/>
      <c r="G9" s="164"/>
      <c r="H9" s="165"/>
      <c r="I9" s="165"/>
      <c r="J9" s="35"/>
      <c r="K9" s="35"/>
      <c r="L9" s="35"/>
      <c r="M9" s="12"/>
      <c r="N9" s="12"/>
      <c r="O9" s="12"/>
      <c r="P9" s="12"/>
      <c r="Q9" s="12"/>
      <c r="R9" s="12"/>
      <c r="S9" s="12"/>
    </row>
    <row r="10" spans="2:19" x14ac:dyDescent="0.2">
      <c r="B10" s="12" t="s">
        <v>162</v>
      </c>
      <c r="C10" s="12"/>
      <c r="D10" s="108">
        <v>223546</v>
      </c>
      <c r="E10" s="108">
        <v>214137</v>
      </c>
      <c r="F10" s="108">
        <v>210352</v>
      </c>
      <c r="G10" s="108">
        <v>220960</v>
      </c>
      <c r="H10" s="73">
        <f>H8*Assumptions!H10</f>
        <v>235814.19012000001</v>
      </c>
      <c r="I10" s="73">
        <f>I8*Assumptions!I10</f>
        <v>246136.70804625002</v>
      </c>
      <c r="J10" s="73">
        <f>J8*Assumptions!J10</f>
        <v>256574.62087648877</v>
      </c>
      <c r="K10" s="73">
        <f>K8*Assumptions!K10</f>
        <v>266812.27705654775</v>
      </c>
      <c r="L10" s="73">
        <f>L8*Assumptions!L10</f>
        <v>275782.20223965077</v>
      </c>
      <c r="M10" s="73">
        <f>M8*Assumptions!M10</f>
        <v>284293.60753689153</v>
      </c>
      <c r="N10" s="73">
        <f>N8*Assumptions!N10</f>
        <v>293251.42184075591</v>
      </c>
      <c r="O10" s="73">
        <f>O8*Assumptions!O10</f>
        <v>301680.96298760187</v>
      </c>
      <c r="P10" s="73"/>
      <c r="Q10" s="12"/>
      <c r="R10" s="12"/>
      <c r="S10" s="12"/>
    </row>
    <row r="11" spans="2:19" x14ac:dyDescent="0.2">
      <c r="B11" s="129" t="s">
        <v>3</v>
      </c>
      <c r="C11" s="21"/>
      <c r="D11" s="76">
        <f>D8-D10</f>
        <v>170782</v>
      </c>
      <c r="E11" s="76">
        <f t="shared" ref="E11:O11" si="2">E8-E10</f>
        <v>169148</v>
      </c>
      <c r="F11" s="76">
        <f t="shared" si="2"/>
        <v>180683</v>
      </c>
      <c r="G11" s="76">
        <f t="shared" si="2"/>
        <v>195201</v>
      </c>
      <c r="H11" s="76">
        <f t="shared" si="2"/>
        <v>208280.32988</v>
      </c>
      <c r="I11" s="76">
        <f t="shared" si="2"/>
        <v>222695.11680375002</v>
      </c>
      <c r="J11" s="76">
        <f t="shared" si="2"/>
        <v>237788.81048476123</v>
      </c>
      <c r="K11" s="76">
        <f t="shared" si="2"/>
        <v>252277.75612739724</v>
      </c>
      <c r="L11" s="76">
        <f t="shared" si="2"/>
        <v>268166.91460384184</v>
      </c>
      <c r="M11" s="76">
        <f t="shared" si="2"/>
        <v>283158.70291598578</v>
      </c>
      <c r="N11" s="76">
        <f t="shared" si="2"/>
        <v>299175.69298905396</v>
      </c>
      <c r="O11" s="76">
        <f t="shared" si="2"/>
        <v>315253.52164962073</v>
      </c>
      <c r="P11" s="12"/>
      <c r="Q11" s="12"/>
      <c r="R11" s="12"/>
      <c r="S11" s="12"/>
    </row>
    <row r="12" spans="2:19" x14ac:dyDescent="0.2">
      <c r="B12" s="12"/>
      <c r="C12" s="12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12"/>
      <c r="Q12" s="12"/>
      <c r="R12" s="12"/>
      <c r="S12" s="12"/>
    </row>
    <row r="13" spans="2:19" x14ac:dyDescent="0.2">
      <c r="B13" s="52" t="s">
        <v>2</v>
      </c>
      <c r="C13" s="12"/>
      <c r="D13" s="46"/>
      <c r="E13" s="46"/>
      <c r="F13" s="46"/>
      <c r="G13" s="46"/>
      <c r="H13" s="46"/>
      <c r="I13" s="46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2:19" x14ac:dyDescent="0.2">
      <c r="B14" s="52" t="s">
        <v>41</v>
      </c>
      <c r="C14" s="12"/>
      <c r="D14" s="108">
        <v>26251</v>
      </c>
      <c r="E14" s="108">
        <v>29915</v>
      </c>
      <c r="F14" s="108">
        <v>31370</v>
      </c>
      <c r="G14" s="27">
        <v>34550</v>
      </c>
      <c r="H14" s="73">
        <f>H8*Assumptions!G12</f>
        <v>35527.561600000001</v>
      </c>
      <c r="I14" s="73">
        <f>I8*Assumptions!H12</f>
        <v>37975.377812850005</v>
      </c>
      <c r="J14" s="73">
        <f>J8*Assumptions!I12</f>
        <v>40537.801371622503</v>
      </c>
      <c r="K14" s="73">
        <f>K8*Assumptions!J12</f>
        <v>43084.472754267437</v>
      </c>
      <c r="L14" s="73">
        <f>L8*Assumptions!K12</f>
        <v>45691.72581485338</v>
      </c>
      <c r="M14" s="73">
        <f>M8*Assumptions!L12</f>
        <v>48233.446388494573</v>
      </c>
      <c r="N14" s="73">
        <f>N8*Assumptions!M12</f>
        <v>50948.731875363643</v>
      </c>
      <c r="O14" s="73">
        <f>O8*Assumptions!N12</f>
        <v>53673.300163438362</v>
      </c>
      <c r="P14" s="12"/>
      <c r="Q14" s="12"/>
      <c r="R14" s="12"/>
      <c r="S14" s="12"/>
    </row>
    <row r="15" spans="2:19" x14ac:dyDescent="0.2">
      <c r="B15" s="52" t="s">
        <v>95</v>
      </c>
      <c r="C15" s="12"/>
      <c r="D15" s="108">
        <v>25094</v>
      </c>
      <c r="E15" s="108">
        <v>24932</v>
      </c>
      <c r="F15" s="27">
        <v>26097</v>
      </c>
      <c r="G15" s="27">
        <v>27601</v>
      </c>
      <c r="H15" s="73">
        <f>H8*Assumptions!G13</f>
        <v>29310.238320000004</v>
      </c>
      <c r="I15" s="73">
        <f>I8*Assumptions!H13</f>
        <v>30474.068615250002</v>
      </c>
      <c r="J15" s="73">
        <f>J8*Assumptions!I13</f>
        <v>32133.623038481252</v>
      </c>
      <c r="K15" s="73">
        <f>K8*Assumptions!J13</f>
        <v>33740.852156956425</v>
      </c>
      <c r="L15" s="73">
        <f>L8*Assumptions!K13</f>
        <v>35356.692594827022</v>
      </c>
      <c r="M15" s="73">
        <f>M8*Assumptions!L13</f>
        <v>36884.400179437027</v>
      </c>
      <c r="N15" s="73">
        <f>N8*Assumptions!M13</f>
        <v>38507.762463937644</v>
      </c>
      <c r="O15" s="73">
        <f>O8*Assumptions!N13</f>
        <v>40100.74150141947</v>
      </c>
      <c r="P15" s="12"/>
      <c r="Q15" s="12"/>
      <c r="R15" s="12"/>
      <c r="S15" s="12"/>
    </row>
    <row r="16" spans="2:19" x14ac:dyDescent="0.2">
      <c r="B16" s="154" t="s">
        <v>42</v>
      </c>
      <c r="C16" s="129"/>
      <c r="D16" s="76">
        <f t="shared" ref="D16:O16" si="3">D14+D15</f>
        <v>51345</v>
      </c>
      <c r="E16" s="76">
        <f t="shared" si="3"/>
        <v>54847</v>
      </c>
      <c r="F16" s="76">
        <f t="shared" si="3"/>
        <v>57467</v>
      </c>
      <c r="G16" s="76">
        <f t="shared" si="3"/>
        <v>62151</v>
      </c>
      <c r="H16" s="76">
        <f t="shared" si="3"/>
        <v>64837.799920000005</v>
      </c>
      <c r="I16" s="76">
        <f t="shared" si="3"/>
        <v>68449.446428100011</v>
      </c>
      <c r="J16" s="76">
        <f t="shared" si="3"/>
        <v>72671.424410103762</v>
      </c>
      <c r="K16" s="76">
        <f t="shared" si="3"/>
        <v>76825.32491122387</v>
      </c>
      <c r="L16" s="76">
        <f t="shared" si="3"/>
        <v>81048.418409680395</v>
      </c>
      <c r="M16" s="76">
        <f t="shared" si="3"/>
        <v>85117.8465679316</v>
      </c>
      <c r="N16" s="76">
        <f t="shared" si="3"/>
        <v>89456.49433930128</v>
      </c>
      <c r="O16" s="76">
        <f t="shared" si="3"/>
        <v>93774.041664857825</v>
      </c>
      <c r="P16" s="12"/>
      <c r="Q16" s="12"/>
      <c r="R16" s="12"/>
      <c r="S16" s="12"/>
    </row>
    <row r="17" spans="2:19" x14ac:dyDescent="0.2">
      <c r="B17" s="142"/>
      <c r="C17" s="35"/>
      <c r="D17" s="166"/>
      <c r="E17" s="166"/>
      <c r="F17" s="166"/>
      <c r="G17" s="166"/>
      <c r="H17" s="77"/>
      <c r="I17" s="77"/>
      <c r="J17" s="77"/>
      <c r="K17" s="77"/>
      <c r="L17" s="77"/>
      <c r="M17" s="73"/>
      <c r="N17" s="73"/>
      <c r="O17" s="73"/>
      <c r="P17" s="12"/>
      <c r="Q17" s="12"/>
      <c r="R17" s="12"/>
      <c r="S17" s="12"/>
    </row>
    <row r="18" spans="2:19" x14ac:dyDescent="0.2">
      <c r="B18" s="52" t="s">
        <v>161</v>
      </c>
      <c r="C18" s="12"/>
      <c r="D18" s="108">
        <f t="shared" ref="D18:O18" si="4">D11-D16</f>
        <v>119437</v>
      </c>
      <c r="E18" s="108">
        <f t="shared" si="4"/>
        <v>114301</v>
      </c>
      <c r="F18" s="108">
        <f t="shared" si="4"/>
        <v>123216</v>
      </c>
      <c r="G18" s="108">
        <f t="shared" si="4"/>
        <v>133050</v>
      </c>
      <c r="H18" s="73">
        <f t="shared" si="4"/>
        <v>143442.52996000001</v>
      </c>
      <c r="I18" s="73">
        <f t="shared" si="4"/>
        <v>154245.67037564999</v>
      </c>
      <c r="J18" s="73">
        <f t="shared" si="4"/>
        <v>165117.38607465746</v>
      </c>
      <c r="K18" s="73">
        <f t="shared" si="4"/>
        <v>175452.43121617337</v>
      </c>
      <c r="L18" s="73">
        <f t="shared" si="4"/>
        <v>187118.49619416145</v>
      </c>
      <c r="M18" s="73">
        <f t="shared" si="4"/>
        <v>198040.85634805419</v>
      </c>
      <c r="N18" s="73">
        <f t="shared" si="4"/>
        <v>209719.19864975268</v>
      </c>
      <c r="O18" s="73">
        <f t="shared" si="4"/>
        <v>221479.4799847629</v>
      </c>
      <c r="P18" s="12"/>
      <c r="Q18" s="12"/>
      <c r="R18" s="12"/>
      <c r="S18" s="12"/>
    </row>
    <row r="19" spans="2:19" x14ac:dyDescent="0.2">
      <c r="B19" s="52" t="s">
        <v>96</v>
      </c>
      <c r="C19" s="12"/>
      <c r="D19" s="167">
        <v>-334</v>
      </c>
      <c r="E19" s="167">
        <v>-565</v>
      </c>
      <c r="F19" s="168">
        <v>269</v>
      </c>
      <c r="G19" s="169">
        <v>-321</v>
      </c>
      <c r="H19" s="158">
        <f>H8*Assumptions!G16</f>
        <v>-355.27561600000001</v>
      </c>
      <c r="I19" s="158">
        <f>I8*Assumptions!H16</f>
        <v>-375.06545988000005</v>
      </c>
      <c r="J19" s="158">
        <f>J8*Assumptions!I16</f>
        <v>-395.49074508900003</v>
      </c>
      <c r="K19" s="158">
        <f>K8*Assumptions!J16</f>
        <v>-415.27202654715603</v>
      </c>
      <c r="L19" s="158">
        <f>L8*Assumptions!K16</f>
        <v>-435.15929347479408</v>
      </c>
      <c r="M19" s="158">
        <f>M8*Assumptions!L16</f>
        <v>-453.96184836230185</v>
      </c>
      <c r="N19" s="158">
        <f>N8*Assumptions!M16</f>
        <v>-473.94169186384789</v>
      </c>
      <c r="O19" s="158">
        <f>O8*Assumptions!N16</f>
        <v>-493.5475877097781</v>
      </c>
      <c r="P19" s="12"/>
      <c r="Q19" s="12"/>
      <c r="R19" s="12"/>
      <c r="S19" s="12"/>
    </row>
    <row r="20" spans="2:19" x14ac:dyDescent="0.2">
      <c r="B20" s="85" t="s">
        <v>43</v>
      </c>
      <c r="C20" s="65"/>
      <c r="D20" s="73">
        <f t="shared" ref="D20:O20" si="5">D18+D19</f>
        <v>119103</v>
      </c>
      <c r="E20" s="73">
        <f t="shared" si="5"/>
        <v>113736</v>
      </c>
      <c r="F20" s="73">
        <f t="shared" si="5"/>
        <v>123485</v>
      </c>
      <c r="G20" s="73">
        <f t="shared" si="5"/>
        <v>132729</v>
      </c>
      <c r="H20" s="73">
        <f t="shared" si="5"/>
        <v>143087.25434400002</v>
      </c>
      <c r="I20" s="73">
        <f t="shared" si="5"/>
        <v>153870.60491577</v>
      </c>
      <c r="J20" s="73">
        <f t="shared" si="5"/>
        <v>164721.89532956848</v>
      </c>
      <c r="K20" s="73">
        <f t="shared" si="5"/>
        <v>175037.15918962623</v>
      </c>
      <c r="L20" s="73">
        <f t="shared" si="5"/>
        <v>186683.33690068664</v>
      </c>
      <c r="M20" s="73">
        <f t="shared" si="5"/>
        <v>197586.8944996919</v>
      </c>
      <c r="N20" s="73">
        <f t="shared" si="5"/>
        <v>209245.25695788884</v>
      </c>
      <c r="O20" s="73">
        <f t="shared" si="5"/>
        <v>220985.93239705311</v>
      </c>
      <c r="P20" s="12"/>
      <c r="Q20" s="12"/>
      <c r="R20" s="12"/>
      <c r="S20" s="12"/>
    </row>
    <row r="21" spans="2:19" x14ac:dyDescent="0.2">
      <c r="B21" s="52" t="s">
        <v>44</v>
      </c>
      <c r="C21" s="12"/>
      <c r="D21" s="108">
        <v>19300</v>
      </c>
      <c r="E21" s="27">
        <v>16741</v>
      </c>
      <c r="F21" s="27">
        <v>29749</v>
      </c>
      <c r="G21" s="27">
        <v>20719</v>
      </c>
      <c r="H21" s="73">
        <f>H20*Assumptions!H18</f>
        <v>22893.960695040001</v>
      </c>
      <c r="I21" s="73">
        <f>I20*Assumptions!I18</f>
        <v>24619.296786523202</v>
      </c>
      <c r="J21" s="73">
        <f>J20*Assumptions!J18</f>
        <v>26355.503252730956</v>
      </c>
      <c r="K21" s="73">
        <f>K20*Assumptions!K18</f>
        <v>28005.945470340197</v>
      </c>
      <c r="L21" s="73">
        <f>L20*Assumptions!L18</f>
        <v>29869.333904109862</v>
      </c>
      <c r="M21" s="73">
        <f>M20*Assumptions!M18</f>
        <v>31613.903119950704</v>
      </c>
      <c r="N21" s="73">
        <f>N20*Assumptions!N18</f>
        <v>33479.241113262215</v>
      </c>
      <c r="O21" s="73">
        <f>O20*Assumptions!O18</f>
        <v>35357.749183528496</v>
      </c>
      <c r="P21" s="12"/>
      <c r="Q21" s="12"/>
      <c r="R21" s="12"/>
      <c r="S21" s="12"/>
    </row>
    <row r="22" spans="2:19" ht="17" thickBot="1" x14ac:dyDescent="0.25">
      <c r="B22" s="170" t="s">
        <v>4</v>
      </c>
      <c r="C22" s="171"/>
      <c r="D22" s="172">
        <f t="shared" ref="D22:O22" si="6">D20-D21</f>
        <v>99803</v>
      </c>
      <c r="E22" s="172">
        <f t="shared" si="6"/>
        <v>96995</v>
      </c>
      <c r="F22" s="172">
        <f t="shared" si="6"/>
        <v>93736</v>
      </c>
      <c r="G22" s="172">
        <f t="shared" si="6"/>
        <v>112010</v>
      </c>
      <c r="H22" s="172">
        <f t="shared" si="6"/>
        <v>120193.29364896001</v>
      </c>
      <c r="I22" s="172">
        <f t="shared" si="6"/>
        <v>129251.3081292468</v>
      </c>
      <c r="J22" s="172">
        <f t="shared" si="6"/>
        <v>138366.39207683751</v>
      </c>
      <c r="K22" s="172">
        <f t="shared" si="6"/>
        <v>147031.21371928602</v>
      </c>
      <c r="L22" s="172">
        <f t="shared" si="6"/>
        <v>156814.00299657678</v>
      </c>
      <c r="M22" s="172">
        <f t="shared" si="6"/>
        <v>165972.9913797412</v>
      </c>
      <c r="N22" s="172">
        <f t="shared" si="6"/>
        <v>175766.01584462661</v>
      </c>
      <c r="O22" s="172">
        <f t="shared" si="6"/>
        <v>185628.18321352461</v>
      </c>
      <c r="P22" s="12"/>
      <c r="Q22" s="12"/>
      <c r="R22" s="12"/>
      <c r="S22" s="12"/>
    </row>
    <row r="23" spans="2:19" ht="17" thickTop="1" x14ac:dyDescent="0.2">
      <c r="B23" s="12"/>
      <c r="C23" s="12"/>
      <c r="D23" s="46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12"/>
      <c r="Q23" s="12"/>
      <c r="R23" s="12"/>
      <c r="S23" s="12"/>
    </row>
    <row r="24" spans="2:19" x14ac:dyDescent="0.2">
      <c r="B24" s="52" t="s">
        <v>108</v>
      </c>
      <c r="C24" s="12"/>
      <c r="D24" s="63">
        <f>'Cash Flow Statements'!D9</f>
        <v>11104</v>
      </c>
      <c r="E24" s="63">
        <f>'Cash Flow Statements'!E9</f>
        <v>11519</v>
      </c>
      <c r="F24" s="63">
        <f>'Cash Flow Statements'!F9</f>
        <v>11445</v>
      </c>
      <c r="G24" s="63">
        <f>'Cash Flow Statements'!G9</f>
        <v>11698</v>
      </c>
      <c r="H24" s="63">
        <f>H8*Assumptions!H$22</f>
        <v>12434.646560000001</v>
      </c>
      <c r="I24" s="63">
        <f>I8*Assumptions!I$22</f>
        <v>13127.291095800001</v>
      </c>
      <c r="J24" s="63">
        <f>J8*Assumptions!J$22</f>
        <v>13842.176078115001</v>
      </c>
      <c r="K24" s="63">
        <f>K8*Assumptions!K$22</f>
        <v>14534.52092915046</v>
      </c>
      <c r="L24" s="63">
        <f>L8*Assumptions!L$22</f>
        <v>15230.575271617794</v>
      </c>
      <c r="M24" s="63">
        <f>M8*Assumptions!M$22</f>
        <v>15888.664692680564</v>
      </c>
      <c r="N24" s="63">
        <f>N8*Assumptions!N$22</f>
        <v>16587.959215234678</v>
      </c>
      <c r="O24" s="63">
        <f>O8*Assumptions!O$22</f>
        <v>17274.165569842233</v>
      </c>
      <c r="P24" s="12"/>
      <c r="Q24" s="12"/>
      <c r="R24" s="12"/>
      <c r="S24" s="12"/>
    </row>
    <row r="25" spans="2:19" x14ac:dyDescent="0.2">
      <c r="B25" s="52" t="s">
        <v>140</v>
      </c>
      <c r="C25" s="12"/>
      <c r="D25" s="73">
        <f>D18+D24</f>
        <v>130541</v>
      </c>
      <c r="E25" s="73">
        <f>E18+E24</f>
        <v>125820</v>
      </c>
      <c r="F25" s="73">
        <f t="shared" ref="F25:O25" si="7">F18+F24</f>
        <v>134661</v>
      </c>
      <c r="G25" s="73">
        <f t="shared" si="7"/>
        <v>144748</v>
      </c>
      <c r="H25" s="73">
        <f t="shared" si="7"/>
        <v>155877.17652000001</v>
      </c>
      <c r="I25" s="73">
        <f t="shared" si="7"/>
        <v>167372.96147144999</v>
      </c>
      <c r="J25" s="73">
        <f t="shared" si="7"/>
        <v>178959.56215277247</v>
      </c>
      <c r="K25" s="73">
        <f t="shared" si="7"/>
        <v>189986.95214532383</v>
      </c>
      <c r="L25" s="73">
        <f t="shared" si="7"/>
        <v>202349.07146577924</v>
      </c>
      <c r="M25" s="73">
        <f t="shared" si="7"/>
        <v>213929.52104073475</v>
      </c>
      <c r="N25" s="73">
        <f t="shared" si="7"/>
        <v>226307.15786498736</v>
      </c>
      <c r="O25" s="73">
        <f t="shared" si="7"/>
        <v>238753.64555460514</v>
      </c>
      <c r="P25" s="12"/>
      <c r="Q25" s="12"/>
      <c r="R25" s="12"/>
      <c r="S25" s="12"/>
    </row>
    <row r="26" spans="2:19" x14ac:dyDescent="0.2">
      <c r="B26" s="52" t="s">
        <v>109</v>
      </c>
      <c r="C26" s="12"/>
      <c r="D26" s="63">
        <f>'Cash Flow Statements'!D10</f>
        <v>9038</v>
      </c>
      <c r="E26" s="63">
        <f>'Cash Flow Statements'!E10</f>
        <v>10833</v>
      </c>
      <c r="F26" s="63">
        <f>'Cash Flow Statements'!F10</f>
        <v>11688</v>
      </c>
      <c r="G26" s="63">
        <f>'Cash Flow Statements'!G10</f>
        <v>12863</v>
      </c>
      <c r="H26" s="63">
        <f>'Cash Flow Statements'!H10</f>
        <v>13766.930120000001</v>
      </c>
      <c r="I26" s="63">
        <f>'Cash Flow Statements'!I10</f>
        <v>14533.786570350001</v>
      </c>
      <c r="J26" s="63">
        <f>'Cash Flow Statements'!J10</f>
        <v>15325.26637219875</v>
      </c>
      <c r="K26" s="63">
        <f>'Cash Flow Statements'!K10</f>
        <v>16091.791028702295</v>
      </c>
      <c r="L26" s="63">
        <f>'Cash Flow Statements'!L10</f>
        <v>16862.422622148271</v>
      </c>
      <c r="M26" s="63">
        <f>'Cash Flow Statements'!M10</f>
        <v>17591.021624039196</v>
      </c>
      <c r="N26" s="63">
        <f>'Cash Flow Statements'!N10</f>
        <v>18365.240559724105</v>
      </c>
      <c r="O26" s="63">
        <f>'Cash Flow Statements'!O10</f>
        <v>19124.9690237539</v>
      </c>
      <c r="P26" s="12"/>
      <c r="Q26" s="12"/>
      <c r="R26" s="12"/>
      <c r="S26" s="12"/>
    </row>
    <row r="27" spans="2:19" x14ac:dyDescent="0.2">
      <c r="B27" s="21" t="s">
        <v>141</v>
      </c>
      <c r="C27" s="21"/>
      <c r="D27" s="78">
        <f>D25+D26</f>
        <v>139579</v>
      </c>
      <c r="E27" s="78">
        <f t="shared" ref="E27:O27" si="8">E25+E26</f>
        <v>136653</v>
      </c>
      <c r="F27" s="78">
        <f t="shared" si="8"/>
        <v>146349</v>
      </c>
      <c r="G27" s="78">
        <f t="shared" si="8"/>
        <v>157611</v>
      </c>
      <c r="H27" s="78">
        <f t="shared" si="8"/>
        <v>169644.10664000001</v>
      </c>
      <c r="I27" s="78">
        <f t="shared" si="8"/>
        <v>181906.74804179999</v>
      </c>
      <c r="J27" s="78">
        <f t="shared" si="8"/>
        <v>194284.82852497124</v>
      </c>
      <c r="K27" s="78">
        <f t="shared" si="8"/>
        <v>206078.74317402611</v>
      </c>
      <c r="L27" s="78">
        <f t="shared" si="8"/>
        <v>219211.49408792751</v>
      </c>
      <c r="M27" s="78">
        <f t="shared" si="8"/>
        <v>231520.54266477394</v>
      </c>
      <c r="N27" s="78">
        <f t="shared" si="8"/>
        <v>244672.39842471146</v>
      </c>
      <c r="O27" s="78">
        <f t="shared" si="8"/>
        <v>257878.61457835903</v>
      </c>
      <c r="P27" s="12"/>
      <c r="Q27" s="12"/>
      <c r="R27" s="12"/>
      <c r="S27" s="12"/>
    </row>
    <row r="28" spans="2:19" x14ac:dyDescent="0.2">
      <c r="B28" s="12"/>
      <c r="C28" s="12"/>
      <c r="D28" s="46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12"/>
      <c r="Q28" s="12"/>
      <c r="R28" s="12"/>
      <c r="S28" s="12"/>
    </row>
    <row r="29" spans="2:19" x14ac:dyDescent="0.2">
      <c r="B29" s="52" t="s">
        <v>36</v>
      </c>
      <c r="C29" s="12"/>
      <c r="D29" s="46"/>
      <c r="E29" s="46"/>
      <c r="F29" s="46"/>
      <c r="G29" s="46"/>
      <c r="H29" s="46"/>
      <c r="I29" s="46"/>
      <c r="J29" s="12"/>
      <c r="K29" s="12"/>
      <c r="L29" s="12"/>
      <c r="M29" s="12"/>
      <c r="N29" s="12"/>
      <c r="O29" s="12"/>
      <c r="P29" s="12"/>
      <c r="Q29" s="37"/>
      <c r="R29" s="12"/>
      <c r="S29" s="12"/>
    </row>
    <row r="30" spans="2:19" x14ac:dyDescent="0.2">
      <c r="B30" s="52" t="s">
        <v>45</v>
      </c>
      <c r="C30" s="12"/>
      <c r="D30" s="31">
        <v>6.15</v>
      </c>
      <c r="E30" s="31">
        <v>6.16</v>
      </c>
      <c r="F30" s="31">
        <v>6.11</v>
      </c>
      <c r="G30" s="31">
        <v>7.49</v>
      </c>
      <c r="H30" s="46">
        <f t="shared" ref="H30:O30" si="9">H22/H34</f>
        <v>8.2891669404446677</v>
      </c>
      <c r="I30" s="46">
        <f t="shared" si="9"/>
        <v>9.1895419129571483</v>
      </c>
      <c r="J30" s="46">
        <f t="shared" si="9"/>
        <v>10.141864367955057</v>
      </c>
      <c r="K30" s="46">
        <f t="shared" si="9"/>
        <v>11.110279624411723</v>
      </c>
      <c r="L30" s="46">
        <f t="shared" si="9"/>
        <v>12.215986781152834</v>
      </c>
      <c r="M30" s="46">
        <f t="shared" si="9"/>
        <v>13.329363147141198</v>
      </c>
      <c r="N30" s="46">
        <f t="shared" si="9"/>
        <v>14.552417734578993</v>
      </c>
      <c r="O30" s="46">
        <f t="shared" si="9"/>
        <v>15.844276920655881</v>
      </c>
      <c r="P30" s="12"/>
      <c r="Q30" s="12"/>
      <c r="R30" s="12"/>
      <c r="S30" s="12"/>
    </row>
    <row r="31" spans="2:19" x14ac:dyDescent="0.2">
      <c r="B31" s="52" t="s">
        <v>46</v>
      </c>
      <c r="C31" s="12"/>
      <c r="D31" s="31">
        <v>6.11</v>
      </c>
      <c r="E31" s="31">
        <v>6.13</v>
      </c>
      <c r="F31" s="31">
        <v>6.08</v>
      </c>
      <c r="G31" s="31">
        <v>7.46</v>
      </c>
      <c r="H31" s="46">
        <f t="shared" ref="H31:O31" si="10">H22/H35</f>
        <v>8.2315461176213187</v>
      </c>
      <c r="I31" s="46">
        <f t="shared" si="10"/>
        <v>9.1256622770180247</v>
      </c>
      <c r="J31" s="46">
        <f t="shared" si="10"/>
        <v>10.071364814255272</v>
      </c>
      <c r="K31" s="46">
        <f t="shared" si="10"/>
        <v>11.033048286406876</v>
      </c>
      <c r="L31" s="46">
        <f t="shared" si="10"/>
        <v>12.131069296080273</v>
      </c>
      <c r="M31" s="46">
        <f t="shared" si="10"/>
        <v>13.236706203715192</v>
      </c>
      <c r="N31" s="46">
        <f t="shared" si="10"/>
        <v>14.451258922124124</v>
      </c>
      <c r="O31" s="46">
        <f t="shared" si="10"/>
        <v>15.734137954971086</v>
      </c>
      <c r="P31" s="12"/>
      <c r="Q31" s="12"/>
      <c r="R31" s="12"/>
      <c r="S31" s="12"/>
    </row>
    <row r="32" spans="2:19" x14ac:dyDescent="0.2">
      <c r="B32" s="12"/>
      <c r="C32" s="12"/>
      <c r="D32" s="31"/>
      <c r="E32" s="31"/>
      <c r="F32" s="31"/>
      <c r="G32" s="31"/>
      <c r="H32" s="46"/>
      <c r="I32" s="46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2:19" x14ac:dyDescent="0.2">
      <c r="B33" s="52" t="s">
        <v>37</v>
      </c>
      <c r="C33" s="12"/>
      <c r="D33" s="31"/>
      <c r="E33" s="31"/>
      <c r="F33" s="31"/>
      <c r="G33" s="31"/>
      <c r="H33" s="46"/>
      <c r="I33" s="46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2:19" x14ac:dyDescent="0.2">
      <c r="B34" s="52" t="s">
        <v>45</v>
      </c>
      <c r="C34" s="12"/>
      <c r="D34" s="140">
        <v>16215.963</v>
      </c>
      <c r="E34" s="140">
        <v>15744.231</v>
      </c>
      <c r="F34" s="140">
        <v>15343.782999999999</v>
      </c>
      <c r="G34" s="140">
        <v>14948.5</v>
      </c>
      <c r="H34" s="141">
        <f>G34*(1-Assumptions!H29)</f>
        <v>14500.045</v>
      </c>
      <c r="I34" s="141">
        <f>H34*(1-Assumptions!I29)</f>
        <v>14065.04365</v>
      </c>
      <c r="J34" s="141">
        <f>I34*(1-Assumptions!J29)</f>
        <v>13643.092340499999</v>
      </c>
      <c r="K34" s="141">
        <f>J34*(1-Assumptions!K29)</f>
        <v>13233.799570284998</v>
      </c>
      <c r="L34" s="141">
        <f>K34*(1-Assumptions!L29)</f>
        <v>12836.785583176448</v>
      </c>
      <c r="M34" s="141">
        <f>L34*(1-Assumptions!M29)</f>
        <v>12451.682015681154</v>
      </c>
      <c r="N34" s="141">
        <f>M34*(1-Assumptions!N29)</f>
        <v>12078.131555210719</v>
      </c>
      <c r="O34" s="141">
        <f>N34*(1-Assumptions!O29)</f>
        <v>11715.787608554398</v>
      </c>
      <c r="P34" s="12"/>
      <c r="Q34" s="12"/>
      <c r="R34" s="12"/>
      <c r="S34" s="12"/>
    </row>
    <row r="35" spans="2:19" x14ac:dyDescent="0.2">
      <c r="B35" s="52" t="s">
        <v>46</v>
      </c>
      <c r="C35" s="12"/>
      <c r="D35" s="140">
        <v>16325.819</v>
      </c>
      <c r="E35" s="140">
        <v>15812.547</v>
      </c>
      <c r="F35" s="27">
        <v>15408.094999999999</v>
      </c>
      <c r="G35" s="27">
        <v>15004.697</v>
      </c>
      <c r="H35" s="141">
        <f>H34*(1+Assumptions!H30)</f>
        <v>14601.545314999999</v>
      </c>
      <c r="I35" s="141">
        <f>I34*(1+Assumptions!I30)</f>
        <v>14163.498955549998</v>
      </c>
      <c r="J35" s="141">
        <f>J34*(1+Assumptions!J30)</f>
        <v>13738.593986883498</v>
      </c>
      <c r="K35" s="141">
        <f>K34*(1+Assumptions!K30)</f>
        <v>13326.436167276992</v>
      </c>
      <c r="L35" s="141">
        <f>L34*(1+Assumptions!L30)</f>
        <v>12926.643082258683</v>
      </c>
      <c r="M35" s="141">
        <f>M34*(1+Assumptions!M30)</f>
        <v>12538.843789790921</v>
      </c>
      <c r="N35" s="141">
        <f>N34*(1+Assumptions!N30)</f>
        <v>12162.678476097193</v>
      </c>
      <c r="O35" s="141">
        <f>O34*(1+Assumptions!O30)</f>
        <v>11797.798121814278</v>
      </c>
      <c r="P35" s="12"/>
      <c r="Q35" s="37"/>
      <c r="R35" s="12"/>
      <c r="S35" s="12"/>
    </row>
    <row r="36" spans="2:19" x14ac:dyDescent="0.2">
      <c r="B36" s="52"/>
      <c r="C36" s="12"/>
      <c r="D36" s="27"/>
      <c r="E36" s="27"/>
      <c r="F36" s="27"/>
      <c r="G36" s="27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2:19" x14ac:dyDescent="0.2">
      <c r="B37" s="12"/>
      <c r="C37" s="12"/>
      <c r="D37" s="12"/>
      <c r="E37" s="12"/>
      <c r="F37" s="12"/>
      <c r="G37" s="12"/>
      <c r="H37" s="173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2:19" x14ac:dyDescent="0.2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2:19" x14ac:dyDescent="0.2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73"/>
      <c r="Q39" s="12"/>
      <c r="R39" s="12"/>
      <c r="S39" s="12"/>
    </row>
    <row r="40" spans="2:19" x14ac:dyDescent="0.2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2:19" x14ac:dyDescent="0.2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2:19" x14ac:dyDescent="0.2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2:19" x14ac:dyDescent="0.2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2:19" x14ac:dyDescent="0.2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2:19" x14ac:dyDescent="0.2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2:19" x14ac:dyDescent="0.2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2:19" x14ac:dyDescent="0.2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2:19" x14ac:dyDescent="0.2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spans="2:19" x14ac:dyDescent="0.2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spans="2:19" x14ac:dyDescent="0.2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spans="2:19" x14ac:dyDescent="0.2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spans="2:19" x14ac:dyDescent="0.2">
      <c r="B52" s="5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spans="2:19" x14ac:dyDescent="0.2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spans="2:19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spans="2:19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spans="2:19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spans="2:19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spans="2:19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spans="2:19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spans="2:19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spans="2:19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spans="2:19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 spans="2:19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spans="2:19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spans="2:19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 spans="2:19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 spans="2:19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</row>
    <row r="68" spans="2:19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</row>
    <row r="69" spans="2:19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</row>
    <row r="70" spans="2:19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</row>
    <row r="71" spans="2:19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 spans="2:19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</row>
    <row r="73" spans="2:19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</row>
    <row r="74" spans="2:19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spans="2:19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2:19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2:19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spans="2:19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spans="2:19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spans="2:19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</row>
    <row r="81" spans="2:19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 spans="2:19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</row>
    <row r="83" spans="2:19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 spans="2:19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 spans="2:19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spans="2:19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  <row r="87" spans="2:19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2:19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2:19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spans="2:19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</row>
    <row r="91" spans="2:19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</row>
    <row r="92" spans="2:19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</row>
    <row r="93" spans="2:19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</row>
    <row r="94" spans="2:19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</row>
    <row r="95" spans="2:19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</row>
    <row r="96" spans="2:19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</row>
    <row r="97" spans="2:19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</row>
    <row r="98" spans="2:19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</row>
    <row r="99" spans="2:19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 spans="2:19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</row>
    <row r="101" spans="2:19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</row>
    <row r="102" spans="2:19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</row>
    <row r="103" spans="2:19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 spans="2:19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</row>
    <row r="105" spans="2:19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 spans="2:19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</row>
    <row r="107" spans="2:19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</row>
    <row r="108" spans="2:19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</row>
    <row r="109" spans="2:19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</row>
    <row r="110" spans="2:19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</row>
    <row r="111" spans="2:19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</row>
    <row r="112" spans="2:19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</row>
    <row r="113" spans="2:19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</row>
    <row r="114" spans="2:19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</row>
    <row r="115" spans="2:19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</row>
    <row r="116" spans="2:19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</row>
    <row r="117" spans="2:19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</row>
    <row r="118" spans="2:19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</row>
    <row r="119" spans="2:19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</row>
    <row r="120" spans="2:19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</row>
    <row r="121" spans="2:19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</row>
    <row r="122" spans="2:19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</row>
    <row r="123" spans="2:19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</row>
    <row r="124" spans="2:19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</row>
    <row r="125" spans="2:19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</row>
    <row r="126" spans="2:19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</row>
    <row r="127" spans="2:19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</row>
    <row r="128" spans="2:19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</row>
    <row r="129" spans="2:19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</row>
    <row r="130" spans="2:19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</row>
    <row r="131" spans="2:19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</row>
    <row r="132" spans="2:19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</row>
    <row r="133" spans="2:19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</row>
    <row r="134" spans="2:19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 spans="2:19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</row>
    <row r="136" spans="2:19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</row>
    <row r="137" spans="2:19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</row>
    <row r="138" spans="2:19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</row>
    <row r="139" spans="2:19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</row>
    <row r="140" spans="2:19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</row>
    <row r="141" spans="2:19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</row>
    <row r="142" spans="2:19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</row>
    <row r="143" spans="2:19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</row>
    <row r="144" spans="2:19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</row>
    <row r="145" spans="2:19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</row>
  </sheetData>
  <mergeCells count="1">
    <mergeCell ref="B2:D2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8157-7291-6642-8109-08FC9756ED77}">
  <dimension ref="B2:BM83"/>
  <sheetViews>
    <sheetView showGridLines="0"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55" sqref="O55"/>
    </sheetView>
  </sheetViews>
  <sheetFormatPr baseColWidth="10" defaultRowHeight="16" x14ac:dyDescent="0.2"/>
  <cols>
    <col min="1" max="1" width="9" customWidth="1"/>
    <col min="2" max="2" width="49.6640625" customWidth="1"/>
    <col min="3" max="3" width="1.5" customWidth="1"/>
  </cols>
  <sheetData>
    <row r="2" spans="2:65" ht="26" x14ac:dyDescent="0.3">
      <c r="B2" s="80" t="str">
        <f>"Balance sheet of " &amp;Cover!F5</f>
        <v>Balance sheet of Apple Inc.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</row>
    <row r="3" spans="2:65" x14ac:dyDescent="0.2">
      <c r="B3" s="43"/>
      <c r="C3" s="43"/>
      <c r="D3" s="82">
        <v>2022</v>
      </c>
      <c r="E3" s="82">
        <f t="shared" ref="E3:O3" si="0">D3+1</f>
        <v>2023</v>
      </c>
      <c r="F3" s="82">
        <f t="shared" si="0"/>
        <v>2024</v>
      </c>
      <c r="G3" s="82">
        <f t="shared" si="0"/>
        <v>2025</v>
      </c>
      <c r="H3" s="83">
        <f t="shared" si="0"/>
        <v>2026</v>
      </c>
      <c r="I3" s="83">
        <f t="shared" si="0"/>
        <v>2027</v>
      </c>
      <c r="J3" s="83">
        <f t="shared" si="0"/>
        <v>2028</v>
      </c>
      <c r="K3" s="83">
        <f t="shared" si="0"/>
        <v>2029</v>
      </c>
      <c r="L3" s="83">
        <f t="shared" si="0"/>
        <v>2030</v>
      </c>
      <c r="M3" s="83">
        <f t="shared" si="0"/>
        <v>2031</v>
      </c>
      <c r="N3" s="83">
        <f t="shared" si="0"/>
        <v>2032</v>
      </c>
      <c r="O3" s="83">
        <f t="shared" si="0"/>
        <v>2033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</row>
    <row r="4" spans="2:65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</row>
    <row r="5" spans="2:65" x14ac:dyDescent="0.2">
      <c r="B5" s="52" t="s">
        <v>52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</row>
    <row r="6" spans="2:65" x14ac:dyDescent="0.2">
      <c r="B6" s="52" t="s">
        <v>53</v>
      </c>
      <c r="C6" s="12"/>
      <c r="D6" s="84"/>
      <c r="E6" s="84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</row>
    <row r="7" spans="2:65" x14ac:dyDescent="0.2">
      <c r="B7" s="52" t="s">
        <v>60</v>
      </c>
      <c r="C7" s="12"/>
      <c r="D7" s="27">
        <v>23646</v>
      </c>
      <c r="E7" s="27">
        <v>29965</v>
      </c>
      <c r="F7" s="27">
        <v>29943</v>
      </c>
      <c r="G7" s="27">
        <v>35934</v>
      </c>
      <c r="H7" s="63">
        <f>'Cash Flow Statements'!H40</f>
        <v>45173.300061507936</v>
      </c>
      <c r="I7" s="63">
        <f>'Cash Flow Statements'!I40</f>
        <v>68403.498517584667</v>
      </c>
      <c r="J7" s="63">
        <f>'Cash Flow Statements'!J40</f>
        <v>105685.97114253767</v>
      </c>
      <c r="K7" s="63">
        <f>'Cash Flow Statements'!K40</f>
        <v>159917.9839399159</v>
      </c>
      <c r="L7" s="63">
        <f>'Cash Flow Statements'!L40</f>
        <v>228001.01162488345</v>
      </c>
      <c r="M7" s="63">
        <f>'Cash Flow Statements'!M40</f>
        <v>306150.70562386047</v>
      </c>
      <c r="N7" s="63">
        <f>'Cash Flow Statements'!N40</f>
        <v>398241.16939193947</v>
      </c>
      <c r="O7" s="63">
        <f>'Cash Flow Statements'!O40</f>
        <v>504238.72549313121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</row>
    <row r="8" spans="2:65" x14ac:dyDescent="0.2">
      <c r="B8" s="52" t="s">
        <v>61</v>
      </c>
      <c r="C8" s="12"/>
      <c r="D8" s="27">
        <v>24658</v>
      </c>
      <c r="E8" s="27">
        <v>31590</v>
      </c>
      <c r="F8" s="27">
        <v>35228</v>
      </c>
      <c r="G8" s="27">
        <v>18763</v>
      </c>
      <c r="H8" s="73">
        <f>G8*(1+Assumptions!$D$38)</f>
        <v>18387.739999999998</v>
      </c>
      <c r="I8" s="73">
        <f>H8*(1+Assumptions!$D$38)</f>
        <v>18019.985199999999</v>
      </c>
      <c r="J8" s="73">
        <f>I8*(1+Assumptions!$D$38)</f>
        <v>17659.585496</v>
      </c>
      <c r="K8" s="73">
        <f>J8*(1+Assumptions!$D$38)</f>
        <v>17306.39378608</v>
      </c>
      <c r="L8" s="73">
        <f>K8*(1+Assumptions!$D$38)</f>
        <v>16960.265910358401</v>
      </c>
      <c r="M8" s="73">
        <f>L8*(1+Assumptions!$D$38)</f>
        <v>16621.060592151232</v>
      </c>
      <c r="N8" s="73">
        <f>M8*(1+Assumptions!$D$38)</f>
        <v>16288.639380308208</v>
      </c>
      <c r="O8" s="73">
        <f>N8*(1+Assumptions!$D$38)</f>
        <v>15962.866592702045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</row>
    <row r="9" spans="2:65" x14ac:dyDescent="0.2">
      <c r="B9" s="52" t="s">
        <v>131</v>
      </c>
      <c r="C9" s="12"/>
      <c r="D9" s="27">
        <v>28184</v>
      </c>
      <c r="E9" s="27">
        <v>29508</v>
      </c>
      <c r="F9" s="27">
        <v>33410</v>
      </c>
      <c r="G9" s="27">
        <v>39777</v>
      </c>
      <c r="H9" s="63">
        <f>'Income Statement'!H8*Assumptions!H24/365</f>
        <v>42584.406027397265</v>
      </c>
      <c r="I9" s="63">
        <f>'Income Statement'!I8*Assumptions!I24/365</f>
        <v>44956.476355479455</v>
      </c>
      <c r="J9" s="63">
        <f>'Income Statement'!J8*Assumptions!J24/365</f>
        <v>47404.712596284255</v>
      </c>
      <c r="K9" s="63">
        <f>'Income Statement'!K8*Assumptions!K24/365</f>
        <v>49775.756606679657</v>
      </c>
      <c r="L9" s="63">
        <f>'Income Statement'!L8*Assumptions!L24/365</f>
        <v>52159.50435485546</v>
      </c>
      <c r="M9" s="63">
        <f>'Income Statement'!M8*Assumptions!M24/365</f>
        <v>54413.235248906043</v>
      </c>
      <c r="N9" s="63">
        <f>'Income Statement'!N8*Assumptions!N24/365</f>
        <v>56808.079504228343</v>
      </c>
      <c r="O9" s="63">
        <f>'Income Statement'!O8*Assumptions!O24/365</f>
        <v>59158.101266582991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</row>
    <row r="10" spans="2:65" x14ac:dyDescent="0.2">
      <c r="B10" s="52" t="s">
        <v>62</v>
      </c>
      <c r="C10" s="12"/>
      <c r="D10" s="27">
        <v>32748</v>
      </c>
      <c r="E10" s="27">
        <v>31477</v>
      </c>
      <c r="F10" s="27">
        <v>32833</v>
      </c>
      <c r="G10" s="27">
        <v>33180</v>
      </c>
      <c r="H10" s="73">
        <f>G10*(1+Assumptions!$D$39)</f>
        <v>33345.899999999994</v>
      </c>
      <c r="I10" s="73">
        <f>H10*(1+Assumptions!$D$39)</f>
        <v>33512.629499999988</v>
      </c>
      <c r="J10" s="73">
        <f>I10*(1+Assumptions!$D$39)</f>
        <v>33680.192647499985</v>
      </c>
      <c r="K10" s="73">
        <f>J10*(1+Assumptions!$D$39)</f>
        <v>33848.59361073748</v>
      </c>
      <c r="L10" s="73">
        <f>K10*(1+Assumptions!$D$39)</f>
        <v>34017.836578791161</v>
      </c>
      <c r="M10" s="73">
        <f>L10*(1+Assumptions!$D$39)</f>
        <v>34187.92576168511</v>
      </c>
      <c r="N10" s="73">
        <f>M10*(1+Assumptions!$D$39)</f>
        <v>34358.865390493535</v>
      </c>
      <c r="O10" s="73">
        <f>N10*(1+Assumptions!$D$39)</f>
        <v>34530.659717445997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</row>
    <row r="11" spans="2:65" x14ac:dyDescent="0.2">
      <c r="B11" s="52" t="s">
        <v>63</v>
      </c>
      <c r="C11" s="12"/>
      <c r="D11" s="27">
        <v>4946</v>
      </c>
      <c r="E11" s="27">
        <v>6331</v>
      </c>
      <c r="F11" s="27">
        <v>7286</v>
      </c>
      <c r="G11" s="27">
        <v>5718</v>
      </c>
      <c r="H11" s="63">
        <f>'Income Statement'!H10*Assumptions!H$25/365</f>
        <v>5814.5964687123296</v>
      </c>
      <c r="I11" s="63">
        <f>'Income Statement'!I10*Assumptions!I$25/365</f>
        <v>6069.1243079897258</v>
      </c>
      <c r="J11" s="63">
        <f>'Income Statement'!J10*Assumptions!J$25/365</f>
        <v>6326.4975010641074</v>
      </c>
      <c r="K11" s="63">
        <f>'Income Statement'!K10*Assumptions!K$25/365</f>
        <v>6578.9328589285751</v>
      </c>
      <c r="L11" s="63">
        <f>'Income Statement'!L10*Assumptions!L$25/365</f>
        <v>6800.1090963201559</v>
      </c>
      <c r="M11" s="63">
        <f>'Income Statement'!M10*Assumptions!M$25/365</f>
        <v>7009.979363923353</v>
      </c>
      <c r="N11" s="63">
        <f>'Income Statement'!N10*Assumptions!N$25/365</f>
        <v>7230.8569768953503</v>
      </c>
      <c r="O11" s="63">
        <f>'Income Statement'!O10*Assumptions!O$25/365</f>
        <v>7438.7086764066216</v>
      </c>
      <c r="P11" s="12"/>
      <c r="Q11" s="73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</row>
    <row r="12" spans="2:65" x14ac:dyDescent="0.2">
      <c r="B12" s="52" t="s">
        <v>64</v>
      </c>
      <c r="C12" s="12"/>
      <c r="D12" s="27">
        <v>21223</v>
      </c>
      <c r="E12" s="27">
        <v>14695</v>
      </c>
      <c r="F12" s="27">
        <v>14287</v>
      </c>
      <c r="G12" s="27">
        <v>14585</v>
      </c>
      <c r="H12" s="73">
        <f>G12*(1+Assumptions!$D$40)</f>
        <v>14876.7</v>
      </c>
      <c r="I12" s="73">
        <f>H12*(1+Assumptions!$D$40)</f>
        <v>15174.234</v>
      </c>
      <c r="J12" s="73">
        <f>I12*(1+Assumptions!$D$40)</f>
        <v>15477.71868</v>
      </c>
      <c r="K12" s="73">
        <f>J12*(1+Assumptions!$D$40)</f>
        <v>15787.2730536</v>
      </c>
      <c r="L12" s="73">
        <f>K12*(1+Assumptions!$D$40)</f>
        <v>16103.018514672</v>
      </c>
      <c r="M12" s="73">
        <f>L12*(1+Assumptions!$D$40)</f>
        <v>16425.078884965438</v>
      </c>
      <c r="N12" s="73">
        <f>M12*(1+Assumptions!$D$40)</f>
        <v>16753.580462664748</v>
      </c>
      <c r="O12" s="73">
        <f>N12*(1+Assumptions!$D$40)</f>
        <v>17088.652071918044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</row>
    <row r="13" spans="2:65" x14ac:dyDescent="0.2">
      <c r="B13" s="85" t="s">
        <v>65</v>
      </c>
      <c r="C13" s="65"/>
      <c r="D13" s="65">
        <f>SUM(D7:D12)</f>
        <v>135405</v>
      </c>
      <c r="E13" s="65">
        <f>SUM(E7:E12)</f>
        <v>143566</v>
      </c>
      <c r="F13" s="65">
        <f t="shared" ref="F13:O13" si="1">SUM(F7:F12)</f>
        <v>152987</v>
      </c>
      <c r="G13" s="65">
        <f t="shared" si="1"/>
        <v>147957</v>
      </c>
      <c r="H13" s="66">
        <f t="shared" si="1"/>
        <v>160182.64255761751</v>
      </c>
      <c r="I13" s="66">
        <f t="shared" si="1"/>
        <v>186135.94788105381</v>
      </c>
      <c r="J13" s="66">
        <f t="shared" si="1"/>
        <v>226234.67806338603</v>
      </c>
      <c r="K13" s="66">
        <f t="shared" si="1"/>
        <v>283214.93385594158</v>
      </c>
      <c r="L13" s="66">
        <f t="shared" si="1"/>
        <v>354041.74607988063</v>
      </c>
      <c r="M13" s="66">
        <f t="shared" si="1"/>
        <v>434807.98547549173</v>
      </c>
      <c r="N13" s="66">
        <f t="shared" si="1"/>
        <v>529681.19110652967</v>
      </c>
      <c r="O13" s="66">
        <f t="shared" si="1"/>
        <v>638417.71381818689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</row>
    <row r="14" spans="2:65" x14ac:dyDescent="0.2">
      <c r="B14" s="52"/>
      <c r="C14" s="12"/>
      <c r="D14" s="12"/>
      <c r="E14" s="12"/>
      <c r="F14" s="12"/>
      <c r="G14" s="12"/>
      <c r="H14" s="86"/>
      <c r="I14" s="86"/>
      <c r="J14" s="86"/>
      <c r="K14" s="86"/>
      <c r="L14" s="86"/>
      <c r="M14" s="86"/>
      <c r="N14" s="86"/>
      <c r="O14" s="86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</row>
    <row r="15" spans="2:65" x14ac:dyDescent="0.2">
      <c r="B15" s="52" t="s">
        <v>54</v>
      </c>
      <c r="C15" s="12"/>
      <c r="D15" s="84"/>
      <c r="E15" s="84"/>
      <c r="F15" s="12"/>
      <c r="G15" s="12"/>
      <c r="H15" s="86"/>
      <c r="I15" s="86"/>
      <c r="J15" s="86"/>
      <c r="K15" s="86"/>
      <c r="L15" s="86"/>
      <c r="M15" s="86"/>
      <c r="N15" s="86"/>
      <c r="O15" s="86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</row>
    <row r="16" spans="2:65" x14ac:dyDescent="0.2">
      <c r="B16" s="52" t="s">
        <v>61</v>
      </c>
      <c r="C16" s="12"/>
      <c r="D16" s="27">
        <v>120805</v>
      </c>
      <c r="E16" s="27">
        <v>100544</v>
      </c>
      <c r="F16" s="27">
        <v>91479</v>
      </c>
      <c r="G16" s="27">
        <v>77723</v>
      </c>
      <c r="H16" s="73">
        <f>G16*(1+Assumptions!$D$38)</f>
        <v>76168.539999999994</v>
      </c>
      <c r="I16" s="73">
        <f>H16*(1+Assumptions!$D$38)</f>
        <v>74645.169199999989</v>
      </c>
      <c r="J16" s="73">
        <f>I16*(1+Assumptions!$D$38)</f>
        <v>73152.265815999985</v>
      </c>
      <c r="K16" s="73">
        <f>J16*(1+Assumptions!$D$38)</f>
        <v>71689.220499679985</v>
      </c>
      <c r="L16" s="73">
        <f>K16*(1+Assumptions!$D$38)</f>
        <v>70255.43608968638</v>
      </c>
      <c r="M16" s="73">
        <f>L16*(1+Assumptions!$D$38)</f>
        <v>68850.327367892649</v>
      </c>
      <c r="N16" s="73">
        <f>M16*(1+Assumptions!$D$38)</f>
        <v>67473.320820534791</v>
      </c>
      <c r="O16" s="73">
        <f>N16*(1+Assumptions!$D$38)</f>
        <v>66123.854404124097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</row>
    <row r="17" spans="2:65" x14ac:dyDescent="0.2">
      <c r="B17" s="52" t="s">
        <v>132</v>
      </c>
      <c r="C17" s="12"/>
      <c r="D17" s="27">
        <v>42117</v>
      </c>
      <c r="E17" s="27">
        <v>43715</v>
      </c>
      <c r="F17" s="27">
        <v>45680</v>
      </c>
      <c r="G17" s="27">
        <v>49834</v>
      </c>
      <c r="H17" s="73">
        <f>Schedules!H32</f>
        <v>54877.271120000005</v>
      </c>
      <c r="I17" s="73">
        <f>Schedules!I32</f>
        <v>60521.649169350007</v>
      </c>
      <c r="J17" s="73">
        <f>Schedules!J32</f>
        <v>66788.608258649765</v>
      </c>
      <c r="K17" s="73">
        <f>Schedules!K32</f>
        <v>73649.984166077978</v>
      </c>
      <c r="L17" s="73">
        <f>Schedules!L32</f>
        <v>81106.61377964796</v>
      </c>
      <c r="M17" s="73">
        <f>Schedules!M32</f>
        <v>89113.132327945888</v>
      </c>
      <c r="N17" s="73">
        <f>Schedules!N32</f>
        <v>97711.764253489629</v>
      </c>
      <c r="O17" s="73">
        <f>Schedules!O32</f>
        <v>106884.55907901375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  <row r="18" spans="2:65" x14ac:dyDescent="0.2">
      <c r="B18" s="52" t="s">
        <v>66</v>
      </c>
      <c r="C18" s="12"/>
      <c r="D18" s="27">
        <v>54428</v>
      </c>
      <c r="E18" s="27">
        <v>64758</v>
      </c>
      <c r="F18" s="27">
        <v>74834</v>
      </c>
      <c r="G18" s="27">
        <v>83727</v>
      </c>
      <c r="H18" s="73">
        <f>G18*(1+Assumptions!$D$40)</f>
        <v>85401.540000000008</v>
      </c>
      <c r="I18" s="73">
        <f>H18*(1+Assumptions!$D$40)</f>
        <v>87109.570800000016</v>
      </c>
      <c r="J18" s="73">
        <f>I18*(1+Assumptions!$D$40)</f>
        <v>88851.762216000017</v>
      </c>
      <c r="K18" s="73">
        <f>J18*(1+Assumptions!$D$40)</f>
        <v>90628.797460320013</v>
      </c>
      <c r="L18" s="73">
        <f>K18*(1+Assumptions!$D$40)</f>
        <v>92441.373409526408</v>
      </c>
      <c r="M18" s="73">
        <f>L18*(1+Assumptions!$D$40)</f>
        <v>94290.200877716939</v>
      </c>
      <c r="N18" s="73">
        <f>M18*(1+Assumptions!$D$40)</f>
        <v>96176.004895271282</v>
      </c>
      <c r="O18" s="73">
        <f>N18*(1+Assumptions!$D$40)</f>
        <v>98099.524993176703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</row>
    <row r="19" spans="2:65" x14ac:dyDescent="0.2">
      <c r="B19" s="85" t="s">
        <v>67</v>
      </c>
      <c r="C19" s="65"/>
      <c r="D19" s="65">
        <f>SUM(D16:D18)</f>
        <v>217350</v>
      </c>
      <c r="E19" s="65">
        <f>SUM(E16:E18)</f>
        <v>209017</v>
      </c>
      <c r="F19" s="65">
        <f t="shared" ref="F19:O19" si="2">SUM(F16:F18)</f>
        <v>211993</v>
      </c>
      <c r="G19" s="65">
        <f t="shared" si="2"/>
        <v>211284</v>
      </c>
      <c r="H19" s="66">
        <f t="shared" si="2"/>
        <v>216447.35112000001</v>
      </c>
      <c r="I19" s="66">
        <f t="shared" si="2"/>
        <v>222276.38916935</v>
      </c>
      <c r="J19" s="66">
        <f t="shared" si="2"/>
        <v>228792.63629064977</v>
      </c>
      <c r="K19" s="66">
        <f t="shared" si="2"/>
        <v>235968.00212607795</v>
      </c>
      <c r="L19" s="66">
        <f t="shared" si="2"/>
        <v>243803.42327886075</v>
      </c>
      <c r="M19" s="66">
        <f t="shared" si="2"/>
        <v>252253.66057355548</v>
      </c>
      <c r="N19" s="66">
        <f t="shared" si="2"/>
        <v>261361.08996929572</v>
      </c>
      <c r="O19" s="66">
        <f t="shared" si="2"/>
        <v>271107.93847631454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</row>
    <row r="20" spans="2:65" x14ac:dyDescent="0.2">
      <c r="B20" s="85" t="s">
        <v>68</v>
      </c>
      <c r="C20" s="65"/>
      <c r="D20" s="65">
        <f>D13+D19</f>
        <v>352755</v>
      </c>
      <c r="E20" s="65">
        <f>E13+E19</f>
        <v>352583</v>
      </c>
      <c r="F20" s="65">
        <f t="shared" ref="F20:O20" si="3">F13+F19</f>
        <v>364980</v>
      </c>
      <c r="G20" s="65">
        <f t="shared" si="3"/>
        <v>359241</v>
      </c>
      <c r="H20" s="66">
        <f t="shared" si="3"/>
        <v>376629.99367761752</v>
      </c>
      <c r="I20" s="66">
        <f t="shared" si="3"/>
        <v>408412.33705040382</v>
      </c>
      <c r="J20" s="66">
        <f t="shared" si="3"/>
        <v>455027.31435403577</v>
      </c>
      <c r="K20" s="66">
        <f t="shared" si="3"/>
        <v>519182.93598201952</v>
      </c>
      <c r="L20" s="66">
        <f t="shared" si="3"/>
        <v>597845.16935874138</v>
      </c>
      <c r="M20" s="66">
        <f t="shared" si="3"/>
        <v>687061.64604904724</v>
      </c>
      <c r="N20" s="66">
        <f t="shared" si="3"/>
        <v>791042.28107582545</v>
      </c>
      <c r="O20" s="66">
        <f t="shared" si="3"/>
        <v>909525.65229450143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</row>
    <row r="21" spans="2:65" x14ac:dyDescent="0.2">
      <c r="B21" s="52"/>
      <c r="C21" s="12"/>
      <c r="D21" s="12"/>
      <c r="E21" s="12"/>
      <c r="F21" s="12"/>
      <c r="G21" s="12"/>
      <c r="H21" s="86"/>
      <c r="I21" s="86"/>
      <c r="J21" s="86"/>
      <c r="K21" s="86"/>
      <c r="L21" s="86"/>
      <c r="M21" s="86"/>
      <c r="N21" s="86"/>
      <c r="O21" s="86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</row>
    <row r="22" spans="2:65" x14ac:dyDescent="0.2">
      <c r="B22" s="52" t="s">
        <v>55</v>
      </c>
      <c r="C22" s="12"/>
      <c r="D22" s="12"/>
      <c r="E22" s="12"/>
      <c r="F22" s="12"/>
      <c r="G22" s="12"/>
      <c r="H22" s="86"/>
      <c r="I22" s="86"/>
      <c r="J22" s="86"/>
      <c r="K22" s="86"/>
      <c r="L22" s="86"/>
      <c r="M22" s="86"/>
      <c r="N22" s="86"/>
      <c r="O22" s="86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</row>
    <row r="23" spans="2:65" x14ac:dyDescent="0.2">
      <c r="B23" s="52" t="s">
        <v>56</v>
      </c>
      <c r="C23" s="12"/>
      <c r="D23" s="12"/>
      <c r="E23" s="12"/>
      <c r="F23" s="12"/>
      <c r="G23" s="12"/>
      <c r="H23" s="86"/>
      <c r="I23" s="86"/>
      <c r="J23" s="86"/>
      <c r="K23" s="86"/>
      <c r="L23" s="86"/>
      <c r="M23" s="86"/>
      <c r="N23" s="86"/>
      <c r="O23" s="86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</row>
    <row r="24" spans="2:65" x14ac:dyDescent="0.2">
      <c r="B24" s="52" t="s">
        <v>69</v>
      </c>
      <c r="C24" s="12"/>
      <c r="D24" s="27">
        <v>64115</v>
      </c>
      <c r="E24" s="27">
        <v>62611</v>
      </c>
      <c r="F24" s="27">
        <v>68960</v>
      </c>
      <c r="G24" s="27">
        <v>69860</v>
      </c>
      <c r="H24" s="63">
        <f>'Income Statement'!H10*Assumptions!H$26/365</f>
        <v>74297.621544657537</v>
      </c>
      <c r="I24" s="63">
        <f>'Income Statement'!I10*Assumptions!I$26/365</f>
        <v>77549.921713202057</v>
      </c>
      <c r="J24" s="63">
        <f>'Income Statement'!J10*Assumptions!J$26/365</f>
        <v>80838.579180263579</v>
      </c>
      <c r="K24" s="63">
        <f>'Income Statement'!K10*Assumptions!K$26/365</f>
        <v>84064.142086309555</v>
      </c>
      <c r="L24" s="63">
        <f>'Income Statement'!L10*Assumptions!L$26/365</f>
        <v>86890.282897424215</v>
      </c>
      <c r="M24" s="63">
        <f>'Income Statement'!M10*Assumptions!M$26/365</f>
        <v>89571.958539020619</v>
      </c>
      <c r="N24" s="63">
        <f>'Income Statement'!N10*Assumptions!N$26/365</f>
        <v>92394.283593662811</v>
      </c>
      <c r="O24" s="63">
        <f>'Income Statement'!O10*Assumptions!O$26/365</f>
        <v>95050.16642075128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</row>
    <row r="25" spans="2:65" x14ac:dyDescent="0.2">
      <c r="B25" s="52" t="s">
        <v>70</v>
      </c>
      <c r="C25" s="12"/>
      <c r="D25" s="27">
        <v>60845</v>
      </c>
      <c r="E25" s="27">
        <v>58829</v>
      </c>
      <c r="F25" s="27">
        <v>78304</v>
      </c>
      <c r="G25" s="27">
        <v>66387</v>
      </c>
      <c r="H25" s="87">
        <f>G25*(1+Assumptions!$D$42)</f>
        <v>67714.740000000005</v>
      </c>
      <c r="I25" s="87">
        <f>H25*(1+Assumptions!$D$42)</f>
        <v>69069.034800000009</v>
      </c>
      <c r="J25" s="87">
        <f>I25*(1+Assumptions!$D$42)</f>
        <v>70450.415496000016</v>
      </c>
      <c r="K25" s="87">
        <f>J25*(1+Assumptions!$D$42)</f>
        <v>71859.423805920014</v>
      </c>
      <c r="L25" s="87">
        <f>K25*(1+Assumptions!$D$42)</f>
        <v>73296.612282038419</v>
      </c>
      <c r="M25" s="87">
        <f>L25*(1+Assumptions!$D$42)</f>
        <v>74762.544527679187</v>
      </c>
      <c r="N25" s="87">
        <f>M25*(1+Assumptions!$D$42)</f>
        <v>76257.795418232767</v>
      </c>
      <c r="O25" s="87">
        <f>N25*(1+Assumptions!$D$42)</f>
        <v>77782.951326597424</v>
      </c>
      <c r="P25" s="12"/>
      <c r="Q25" s="73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</row>
    <row r="26" spans="2:65" x14ac:dyDescent="0.2">
      <c r="B26" s="52" t="s">
        <v>71</v>
      </c>
      <c r="C26" s="12"/>
      <c r="D26" s="27">
        <v>7912</v>
      </c>
      <c r="E26" s="27">
        <v>8061</v>
      </c>
      <c r="F26" s="27">
        <v>8249</v>
      </c>
      <c r="G26" s="27">
        <v>9055</v>
      </c>
      <c r="H26" s="87">
        <f>G26*(1+Assumptions!$D$43)</f>
        <v>9960.5</v>
      </c>
      <c r="I26" s="87">
        <f>H26*(1+Assumptions!$D$43)</f>
        <v>10956.550000000001</v>
      </c>
      <c r="J26" s="87">
        <f>I26*(1+Assumptions!$D$43)</f>
        <v>12052.205000000002</v>
      </c>
      <c r="K26" s="87">
        <f>J26*(1+Assumptions!$D$43)</f>
        <v>13257.425500000003</v>
      </c>
      <c r="L26" s="87">
        <f>K26*(1+Assumptions!$D$43)</f>
        <v>14583.168050000004</v>
      </c>
      <c r="M26" s="87">
        <f>L26*(1+Assumptions!$D$43)</f>
        <v>16041.484855000006</v>
      </c>
      <c r="N26" s="87">
        <f>M26*(1+Assumptions!$D$43)</f>
        <v>17645.633340500008</v>
      </c>
      <c r="O26" s="87">
        <f>N26*(1+Assumptions!$D$43)</f>
        <v>19410.19667455001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</row>
    <row r="27" spans="2:65" x14ac:dyDescent="0.2">
      <c r="B27" s="52" t="s">
        <v>72</v>
      </c>
      <c r="C27" s="12"/>
      <c r="D27" s="27">
        <v>9982</v>
      </c>
      <c r="E27" s="27">
        <v>5985</v>
      </c>
      <c r="F27" s="27">
        <v>9967</v>
      </c>
      <c r="G27" s="27">
        <v>7979</v>
      </c>
      <c r="H27" s="87">
        <f t="shared" ref="H27:O27" si="4">G27</f>
        <v>7979</v>
      </c>
      <c r="I27" s="87">
        <f t="shared" si="4"/>
        <v>7979</v>
      </c>
      <c r="J27" s="87">
        <f t="shared" si="4"/>
        <v>7979</v>
      </c>
      <c r="K27" s="87">
        <f t="shared" si="4"/>
        <v>7979</v>
      </c>
      <c r="L27" s="87">
        <f t="shared" si="4"/>
        <v>7979</v>
      </c>
      <c r="M27" s="87">
        <f t="shared" si="4"/>
        <v>7979</v>
      </c>
      <c r="N27" s="87">
        <f t="shared" si="4"/>
        <v>7979</v>
      </c>
      <c r="O27" s="87">
        <f t="shared" si="4"/>
        <v>7979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</row>
    <row r="28" spans="2:65" x14ac:dyDescent="0.2">
      <c r="B28" s="52" t="s">
        <v>73</v>
      </c>
      <c r="C28" s="12"/>
      <c r="D28" s="27">
        <v>11128</v>
      </c>
      <c r="E28" s="27">
        <v>9822</v>
      </c>
      <c r="F28" s="27">
        <v>10912</v>
      </c>
      <c r="G28" s="27">
        <v>12350</v>
      </c>
      <c r="H28" s="67">
        <f>Schedules!I48</f>
        <v>10078</v>
      </c>
      <c r="I28" s="67">
        <f>Schedules!J48</f>
        <v>9300</v>
      </c>
      <c r="J28" s="67">
        <f>Schedules!K48</f>
        <v>5235</v>
      </c>
      <c r="K28" s="67">
        <f>Schedules!L48</f>
        <v>4972</v>
      </c>
      <c r="L28" s="67">
        <f>Schedules!M48</f>
        <v>8254</v>
      </c>
      <c r="M28" s="67">
        <f>Schedules!N48</f>
        <v>8254</v>
      </c>
      <c r="N28" s="67">
        <f>Schedules!O48</f>
        <v>8254</v>
      </c>
      <c r="O28" s="67"/>
      <c r="P28" s="88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</row>
    <row r="29" spans="2:65" x14ac:dyDescent="0.2">
      <c r="B29" s="85" t="s">
        <v>74</v>
      </c>
      <c r="C29" s="65"/>
      <c r="D29" s="65">
        <f>SUM(D24:D28)</f>
        <v>153982</v>
      </c>
      <c r="E29" s="65">
        <f>SUM(E24:E28)</f>
        <v>145308</v>
      </c>
      <c r="F29" s="65">
        <f t="shared" ref="F29:O29" si="5">SUM(F24:F28)</f>
        <v>176392</v>
      </c>
      <c r="G29" s="65">
        <f t="shared" si="5"/>
        <v>165631</v>
      </c>
      <c r="H29" s="66">
        <f t="shared" si="5"/>
        <v>170029.86154465756</v>
      </c>
      <c r="I29" s="66">
        <f t="shared" si="5"/>
        <v>174854.50651320204</v>
      </c>
      <c r="J29" s="66">
        <f t="shared" si="5"/>
        <v>176555.19967626361</v>
      </c>
      <c r="K29" s="66">
        <f t="shared" si="5"/>
        <v>182131.99139222957</v>
      </c>
      <c r="L29" s="66">
        <f t="shared" si="5"/>
        <v>191003.06322946263</v>
      </c>
      <c r="M29" s="66">
        <f t="shared" si="5"/>
        <v>196608.98792169982</v>
      </c>
      <c r="N29" s="66">
        <f t="shared" si="5"/>
        <v>202530.71235239558</v>
      </c>
      <c r="O29" s="66">
        <f t="shared" si="5"/>
        <v>200222.31442189871</v>
      </c>
      <c r="P29" s="88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</row>
    <row r="30" spans="2:65" x14ac:dyDescent="0.2">
      <c r="B30" s="52"/>
      <c r="C30" s="12"/>
      <c r="D30" s="12"/>
      <c r="E30" s="12"/>
      <c r="F30" s="12"/>
      <c r="G30" s="12"/>
      <c r="H30" s="86"/>
      <c r="I30" s="86"/>
      <c r="J30" s="86"/>
      <c r="K30" s="86"/>
      <c r="L30" s="86"/>
      <c r="M30" s="86"/>
      <c r="N30" s="86"/>
      <c r="O30" s="86"/>
      <c r="P30" s="88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</row>
    <row r="31" spans="2:65" x14ac:dyDescent="0.2">
      <c r="B31" s="52" t="s">
        <v>57</v>
      </c>
      <c r="C31" s="12"/>
      <c r="D31" s="84"/>
      <c r="E31" s="84"/>
      <c r="F31" s="12"/>
      <c r="G31" s="12"/>
      <c r="H31" s="73"/>
      <c r="I31" s="73"/>
      <c r="J31" s="73"/>
      <c r="K31" s="73"/>
      <c r="L31" s="73"/>
      <c r="M31" s="73"/>
      <c r="N31" s="73"/>
      <c r="O31" s="73"/>
      <c r="P31" s="88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</row>
    <row r="32" spans="2:65" x14ac:dyDescent="0.2">
      <c r="B32" s="52" t="s">
        <v>73</v>
      </c>
      <c r="C32" s="12"/>
      <c r="D32" s="27">
        <v>98959</v>
      </c>
      <c r="E32" s="27">
        <v>95281</v>
      </c>
      <c r="F32" s="27">
        <v>85750</v>
      </c>
      <c r="G32" s="27">
        <v>78328</v>
      </c>
      <c r="H32" s="12">
        <f>Schedules!H50-'Balance Sheet'!H28</f>
        <v>68207</v>
      </c>
      <c r="I32" s="12">
        <f>Schedules!I50-'Balance Sheet'!I28</f>
        <v>58907</v>
      </c>
      <c r="J32" s="12">
        <f>Schedules!J50-'Balance Sheet'!J28</f>
        <v>53672</v>
      </c>
      <c r="K32" s="12">
        <f>Schedules!K50-'Balance Sheet'!K28</f>
        <v>48700</v>
      </c>
      <c r="L32" s="12">
        <f>Schedules!L50-'Balance Sheet'!L28</f>
        <v>40446</v>
      </c>
      <c r="M32" s="12">
        <f>Schedules!M50-'Balance Sheet'!M28</f>
        <v>32192</v>
      </c>
      <c r="N32" s="12">
        <f>Schedules!N50-'Balance Sheet'!N28</f>
        <v>23938</v>
      </c>
      <c r="O32" s="12">
        <f>Schedules!O50-'Balance Sheet'!O28</f>
        <v>23938</v>
      </c>
      <c r="P32" s="88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</row>
    <row r="33" spans="2:65" x14ac:dyDescent="0.2">
      <c r="B33" s="89" t="s">
        <v>75</v>
      </c>
      <c r="C33" s="12"/>
      <c r="D33" s="27">
        <v>49142</v>
      </c>
      <c r="E33" s="27">
        <v>49848</v>
      </c>
      <c r="F33" s="27">
        <v>45888</v>
      </c>
      <c r="G33" s="27">
        <v>41549</v>
      </c>
      <c r="H33" s="73">
        <f>G33*(1+Assumptions!$D$42)</f>
        <v>42379.98</v>
      </c>
      <c r="I33" s="73">
        <f>H33*(1+Assumptions!$D$42)</f>
        <v>43227.579600000005</v>
      </c>
      <c r="J33" s="73">
        <f>I33*(1+Assumptions!$D$42)</f>
        <v>44092.131192000008</v>
      </c>
      <c r="K33" s="73">
        <f>J33*(1+Assumptions!$D$42)</f>
        <v>44973.973815840007</v>
      </c>
      <c r="L33" s="73">
        <f>K33*(1+Assumptions!$D$42)</f>
        <v>45873.45329215681</v>
      </c>
      <c r="M33" s="73">
        <f>L33*(1+Assumptions!$D$42)</f>
        <v>46790.922357999945</v>
      </c>
      <c r="N33" s="73">
        <f>M33*(1+Assumptions!$D$42)</f>
        <v>47726.740805159941</v>
      </c>
      <c r="O33" s="73">
        <f>N33*(1+Assumptions!$D$42)</f>
        <v>48681.275621263143</v>
      </c>
      <c r="P33" s="88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</row>
    <row r="34" spans="2:65" x14ac:dyDescent="0.2">
      <c r="B34" s="90" t="s">
        <v>76</v>
      </c>
      <c r="C34" s="21"/>
      <c r="D34" s="21">
        <f>D32+D33</f>
        <v>148101</v>
      </c>
      <c r="E34" s="21">
        <f>E32+E33</f>
        <v>145129</v>
      </c>
      <c r="F34" s="21">
        <f t="shared" ref="F34:O34" si="6">SUM(F32:F33)</f>
        <v>131638</v>
      </c>
      <c r="G34" s="21">
        <f t="shared" si="6"/>
        <v>119877</v>
      </c>
      <c r="H34" s="78">
        <f t="shared" si="6"/>
        <v>110586.98000000001</v>
      </c>
      <c r="I34" s="78">
        <f t="shared" si="6"/>
        <v>102134.5796</v>
      </c>
      <c r="J34" s="78">
        <f t="shared" si="6"/>
        <v>97764.131192000001</v>
      </c>
      <c r="K34" s="78">
        <f t="shared" si="6"/>
        <v>93673.97381584</v>
      </c>
      <c r="L34" s="78">
        <f t="shared" si="6"/>
        <v>86319.453292156802</v>
      </c>
      <c r="M34" s="78">
        <f t="shared" si="6"/>
        <v>78982.922357999953</v>
      </c>
      <c r="N34" s="78">
        <f t="shared" si="6"/>
        <v>71664.740805159934</v>
      </c>
      <c r="O34" s="78">
        <f t="shared" si="6"/>
        <v>72619.275621263136</v>
      </c>
      <c r="P34" s="88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</row>
    <row r="35" spans="2:65" x14ac:dyDescent="0.2">
      <c r="B35" s="89" t="s">
        <v>77</v>
      </c>
      <c r="C35" s="91"/>
      <c r="D35" s="91">
        <f>D29+D34</f>
        <v>302083</v>
      </c>
      <c r="E35" s="91">
        <f>E29+E34</f>
        <v>290437</v>
      </c>
      <c r="F35" s="91">
        <f t="shared" ref="F35:O35" si="7">F29+F34</f>
        <v>308030</v>
      </c>
      <c r="G35" s="91">
        <f t="shared" si="7"/>
        <v>285508</v>
      </c>
      <c r="H35" s="92">
        <f t="shared" si="7"/>
        <v>280616.8415446576</v>
      </c>
      <c r="I35" s="92">
        <f t="shared" si="7"/>
        <v>276989.08611320204</v>
      </c>
      <c r="J35" s="92">
        <f t="shared" si="7"/>
        <v>274319.33086826361</v>
      </c>
      <c r="K35" s="92">
        <f t="shared" si="7"/>
        <v>275805.96520806954</v>
      </c>
      <c r="L35" s="92">
        <f t="shared" si="7"/>
        <v>277322.5165216194</v>
      </c>
      <c r="M35" s="92">
        <f t="shared" si="7"/>
        <v>275591.91027969978</v>
      </c>
      <c r="N35" s="92">
        <f t="shared" si="7"/>
        <v>274195.45315755554</v>
      </c>
      <c r="O35" s="92">
        <f t="shared" si="7"/>
        <v>272841.59004316188</v>
      </c>
      <c r="P35" s="88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</row>
    <row r="36" spans="2:65" x14ac:dyDescent="0.2">
      <c r="B36" s="52"/>
      <c r="C36" s="12"/>
      <c r="D36" s="12"/>
      <c r="E36" s="12"/>
      <c r="F36" s="12"/>
      <c r="G36" s="12"/>
      <c r="H36" s="73"/>
      <c r="I36" s="73"/>
      <c r="J36" s="73"/>
      <c r="K36" s="73"/>
      <c r="L36" s="73"/>
      <c r="M36" s="73"/>
      <c r="N36" s="73"/>
      <c r="O36" s="73"/>
      <c r="P36" s="88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</row>
    <row r="37" spans="2:65" x14ac:dyDescent="0.2">
      <c r="B37" s="52" t="s">
        <v>58</v>
      </c>
      <c r="C37" s="12"/>
      <c r="D37" s="12"/>
      <c r="E37" s="12"/>
      <c r="F37" s="12"/>
      <c r="G37" s="12"/>
      <c r="H37" s="73"/>
      <c r="I37" s="73"/>
      <c r="J37" s="73"/>
      <c r="K37" s="73"/>
      <c r="L37" s="73"/>
      <c r="M37" s="73"/>
      <c r="N37" s="73"/>
      <c r="O37" s="73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</row>
    <row r="38" spans="2:65" x14ac:dyDescent="0.2">
      <c r="B38" s="52"/>
      <c r="C38" s="12"/>
      <c r="D38" s="12"/>
      <c r="E38" s="12"/>
      <c r="F38" s="12"/>
      <c r="G38" s="12"/>
      <c r="H38" s="73"/>
      <c r="I38" s="73"/>
      <c r="J38" s="73"/>
      <c r="K38" s="73"/>
      <c r="L38" s="73"/>
      <c r="M38" s="73"/>
      <c r="N38" s="73"/>
      <c r="O38" s="73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</row>
    <row r="39" spans="2:65" x14ac:dyDescent="0.2">
      <c r="B39" s="52" t="s">
        <v>59</v>
      </c>
      <c r="C39" s="12"/>
      <c r="D39" s="12"/>
      <c r="E39" s="12"/>
      <c r="F39" s="12"/>
      <c r="G39" s="12"/>
      <c r="H39" s="73"/>
      <c r="I39" s="73"/>
      <c r="J39" s="73"/>
      <c r="K39" s="73"/>
      <c r="L39" s="73"/>
      <c r="M39" s="73"/>
      <c r="N39" s="73"/>
      <c r="O39" s="73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</row>
    <row r="40" spans="2:65" ht="51" x14ac:dyDescent="0.2">
      <c r="B40" s="93" t="s">
        <v>133</v>
      </c>
      <c r="C40" s="12"/>
      <c r="D40" s="27">
        <v>64849</v>
      </c>
      <c r="E40" s="27">
        <v>73812</v>
      </c>
      <c r="F40" s="27">
        <v>83276</v>
      </c>
      <c r="G40" s="27">
        <v>93568</v>
      </c>
      <c r="H40" s="73">
        <f>G40+Schedules!H87-Schedules!H88</f>
        <v>100984.378484</v>
      </c>
      <c r="I40" s="73">
        <f>H40+Schedules!I87-Schedules!I88</f>
        <v>108813.869958995</v>
      </c>
      <c r="J40" s="73">
        <f>I40+Schedules!J87-Schedules!J88</f>
        <v>117069.73926272788</v>
      </c>
      <c r="K40" s="73">
        <f>J40+Schedules!K87-Schedules!K88</f>
        <v>125738.54281689975</v>
      </c>
      <c r="L40" s="73">
        <f>K40+Schedules!L87-Schedules!L88</f>
        <v>134822.49306818607</v>
      </c>
      <c r="M40" s="73">
        <f>L40+Schedules!M87-Schedules!M88</f>
        <v>144298.94665274912</v>
      </c>
      <c r="N40" s="73">
        <f>M40+Schedules!N87-Schedules!N88</f>
        <v>154192.47947040695</v>
      </c>
      <c r="O40" s="73">
        <f>N40+Schedules!O87-Schedules!O88</f>
        <v>164495.28536384855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</row>
    <row r="41" spans="2:65" x14ac:dyDescent="0.2">
      <c r="B41" s="52" t="s">
        <v>79</v>
      </c>
      <c r="C41" s="12"/>
      <c r="D41" s="27">
        <v>-3068</v>
      </c>
      <c r="E41" s="27">
        <v>-214</v>
      </c>
      <c r="F41" s="94">
        <v>-19154</v>
      </c>
      <c r="G41" s="94">
        <v>-14264</v>
      </c>
      <c r="H41" s="73">
        <f>G41+'Income Statement'!H22-Assumptions!H44-Assumptions!H46</f>
        <v>599.77364896000654</v>
      </c>
      <c r="I41" s="73">
        <f>H41+'Income Statement'!I$22-Assumptions!I$44-Assumptions!I$46</f>
        <v>28180.380978206798</v>
      </c>
      <c r="J41" s="73">
        <f>I41+'Income Statement'!J$22-Assumptions!J$44-Assumptions!J$46</f>
        <v>69209.244223044283</v>
      </c>
      <c r="K41" s="73">
        <f>J41+'Income Statement'!K$22-Assumptions!K$44-Assumptions!K$46</f>
        <v>123209.4279570503</v>
      </c>
      <c r="L41" s="73">
        <f>K41+'Income Statement'!L$22-Assumptions!L$44-Assumptions!L$46</f>
        <v>191271.1597689359</v>
      </c>
      <c r="M41" s="73">
        <f>L41+'Income Statement'!M$22-Assumptions!M$44-Assumptions!M$46</f>
        <v>272741.78911659826</v>
      </c>
      <c r="N41" s="73">
        <f>M41+'Income Statement'!N$22-Assumptions!N$44-Assumptions!N$46</f>
        <v>368225.3484478629</v>
      </c>
      <c r="O41" s="73">
        <f>N41+'Income Statement'!O$22-Assumptions!O$44-Assumptions!O$46</f>
        <v>477759.776887491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</row>
    <row r="42" spans="2:65" x14ac:dyDescent="0.2">
      <c r="B42" s="52" t="s">
        <v>80</v>
      </c>
      <c r="C42" s="12"/>
      <c r="D42" s="94">
        <v>-11109</v>
      </c>
      <c r="E42" s="94">
        <v>-11452</v>
      </c>
      <c r="F42" s="94">
        <v>-7172</v>
      </c>
      <c r="G42" s="94">
        <v>-5571</v>
      </c>
      <c r="H42" s="95">
        <f t="shared" ref="H42:O42" si="8">G42</f>
        <v>-5571</v>
      </c>
      <c r="I42" s="95">
        <f t="shared" si="8"/>
        <v>-5571</v>
      </c>
      <c r="J42" s="95">
        <f t="shared" si="8"/>
        <v>-5571</v>
      </c>
      <c r="K42" s="95">
        <f t="shared" si="8"/>
        <v>-5571</v>
      </c>
      <c r="L42" s="95">
        <f t="shared" si="8"/>
        <v>-5571</v>
      </c>
      <c r="M42" s="95">
        <f t="shared" si="8"/>
        <v>-5571</v>
      </c>
      <c r="N42" s="95">
        <f t="shared" si="8"/>
        <v>-5571</v>
      </c>
      <c r="O42" s="95">
        <f t="shared" si="8"/>
        <v>-5571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</row>
    <row r="43" spans="2:65" x14ac:dyDescent="0.2">
      <c r="B43" s="85" t="s">
        <v>78</v>
      </c>
      <c r="C43" s="65"/>
      <c r="D43" s="65">
        <f>D40+D41+D42</f>
        <v>50672</v>
      </c>
      <c r="E43" s="65">
        <f>E40+E41+E42</f>
        <v>62146</v>
      </c>
      <c r="F43" s="65">
        <f t="shared" ref="F43:O43" si="9">SUM(F40:F42)</f>
        <v>56950</v>
      </c>
      <c r="G43" s="65">
        <f t="shared" si="9"/>
        <v>73733</v>
      </c>
      <c r="H43" s="66">
        <f t="shared" si="9"/>
        <v>96013.152132960007</v>
      </c>
      <c r="I43" s="66">
        <f t="shared" si="9"/>
        <v>131423.25093720178</v>
      </c>
      <c r="J43" s="66">
        <f t="shared" si="9"/>
        <v>180707.98348577216</v>
      </c>
      <c r="K43" s="66">
        <f t="shared" si="9"/>
        <v>243376.97077395004</v>
      </c>
      <c r="L43" s="66">
        <f t="shared" si="9"/>
        <v>320522.65283712198</v>
      </c>
      <c r="M43" s="66">
        <f t="shared" si="9"/>
        <v>411469.7357693474</v>
      </c>
      <c r="N43" s="66">
        <f t="shared" si="9"/>
        <v>516846.82791826985</v>
      </c>
      <c r="O43" s="66">
        <f t="shared" si="9"/>
        <v>636684.06225133955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</row>
    <row r="44" spans="2:65" x14ac:dyDescent="0.2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73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</row>
    <row r="45" spans="2:65" x14ac:dyDescent="0.2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</row>
    <row r="46" spans="2:65" x14ac:dyDescent="0.2">
      <c r="B46" s="52" t="s">
        <v>160</v>
      </c>
      <c r="C46" s="12"/>
      <c r="D46" s="96">
        <f>D20-D35-D43</f>
        <v>0</v>
      </c>
      <c r="E46" s="96">
        <f t="shared" ref="E46:N46" si="10">E20-E35-E43</f>
        <v>0</v>
      </c>
      <c r="F46" s="96">
        <f t="shared" si="10"/>
        <v>0</v>
      </c>
      <c r="G46" s="96">
        <f t="shared" si="10"/>
        <v>0</v>
      </c>
      <c r="H46" s="96">
        <f t="shared" si="10"/>
        <v>0</v>
      </c>
      <c r="I46" s="96">
        <f t="shared" si="10"/>
        <v>0</v>
      </c>
      <c r="J46" s="96">
        <f t="shared" si="10"/>
        <v>0</v>
      </c>
      <c r="K46" s="96">
        <f t="shared" si="10"/>
        <v>0</v>
      </c>
      <c r="L46" s="96">
        <f t="shared" si="10"/>
        <v>0</v>
      </c>
      <c r="M46" s="96">
        <f t="shared" si="10"/>
        <v>0</v>
      </c>
      <c r="N46" s="96">
        <f t="shared" si="10"/>
        <v>0</v>
      </c>
      <c r="O46" s="96">
        <f>O20-O35-O43</f>
        <v>0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</row>
    <row r="47" spans="2:65" x14ac:dyDescent="0.2">
      <c r="B47" s="12"/>
      <c r="C47" s="12"/>
      <c r="D47" s="12"/>
      <c r="E47" s="12"/>
      <c r="F47" s="12"/>
      <c r="G47" s="73"/>
      <c r="H47" s="73"/>
      <c r="I47" s="73"/>
      <c r="J47" s="73"/>
      <c r="K47" s="73"/>
      <c r="L47" s="73"/>
      <c r="M47" s="73"/>
      <c r="N47" s="73"/>
      <c r="O47" s="73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</row>
    <row r="48" spans="2:65" x14ac:dyDescent="0.2">
      <c r="B48" s="12"/>
      <c r="C48" s="12"/>
      <c r="D48" s="12"/>
      <c r="E48" s="12"/>
      <c r="F48" s="12"/>
      <c r="G48" s="96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</row>
    <row r="49" spans="2:65" x14ac:dyDescent="0.2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73"/>
      <c r="P49" s="73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</row>
    <row r="50" spans="2:65" x14ac:dyDescent="0.2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73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</row>
    <row r="51" spans="2:65" x14ac:dyDescent="0.2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73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</row>
    <row r="52" spans="2:65" x14ac:dyDescent="0.2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</row>
    <row r="53" spans="2:65" x14ac:dyDescent="0.2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</row>
    <row r="54" spans="2:65" x14ac:dyDescent="0.2">
      <c r="B54" s="12"/>
      <c r="C54" s="12"/>
      <c r="D54" s="73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</row>
    <row r="55" spans="2:65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</row>
    <row r="56" spans="2:65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</row>
    <row r="57" spans="2:65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</row>
    <row r="58" spans="2:65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</row>
    <row r="59" spans="2:65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</row>
    <row r="60" spans="2:65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</row>
    <row r="61" spans="2:65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</row>
    <row r="62" spans="2:65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</row>
    <row r="63" spans="2:65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</row>
    <row r="64" spans="2:65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</row>
    <row r="65" spans="2:65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</row>
    <row r="66" spans="2:65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</row>
    <row r="67" spans="2:65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</row>
    <row r="68" spans="2:65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</row>
    <row r="69" spans="2:65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</row>
    <row r="70" spans="2:65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</row>
    <row r="71" spans="2:65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</row>
    <row r="72" spans="2:65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</row>
    <row r="73" spans="2:65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</row>
    <row r="74" spans="2:65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</row>
    <row r="75" spans="2:65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</row>
    <row r="76" spans="2:65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</row>
    <row r="77" spans="2:65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</row>
    <row r="78" spans="2:65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</row>
    <row r="79" spans="2:65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</row>
    <row r="80" spans="2:65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</row>
    <row r="81" spans="2:65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</row>
    <row r="82" spans="2:65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</row>
    <row r="83" spans="2:65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</row>
  </sheetData>
  <pageMargins left="0.7" right="0.7" top="0.75" bottom="0.75" header="0.3" footer="0.3"/>
  <pageSetup paperSize="9" orientation="portrait" horizontalDpi="0" verticalDpi="0"/>
  <ignoredErrors>
    <ignoredError sqref="H41:O41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35C7-DAA5-4840-9094-33F41C1EE8EF}">
  <dimension ref="B2:CR187"/>
  <sheetViews>
    <sheetView showGridLines="0" zoomScale="70" zoomScaleNormal="7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H9" sqref="H9"/>
    </sheetView>
  </sheetViews>
  <sheetFormatPr baseColWidth="10" defaultRowHeight="16" x14ac:dyDescent="0.2"/>
  <cols>
    <col min="1" max="1" width="4.5" customWidth="1"/>
    <col min="2" max="2" width="71" customWidth="1"/>
    <col min="3" max="3" width="1.1640625" customWidth="1"/>
  </cols>
  <sheetData>
    <row r="2" spans="2:96" ht="24" x14ac:dyDescent="0.3">
      <c r="B2" s="98" t="str">
        <f>"Cash Flow Statement of " &amp; Cover!F5</f>
        <v>Cash Flow Statement of Apple Inc.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</row>
    <row r="3" spans="2:96" x14ac:dyDescent="0.2">
      <c r="B3" s="43"/>
      <c r="C3" s="43"/>
      <c r="D3" s="43">
        <v>2022</v>
      </c>
      <c r="E3" s="43">
        <f>D3+1</f>
        <v>2023</v>
      </c>
      <c r="F3" s="43">
        <f t="shared" ref="F3:M3" si="0">E3+1</f>
        <v>2024</v>
      </c>
      <c r="G3" s="43">
        <f t="shared" si="0"/>
        <v>2025</v>
      </c>
      <c r="H3" s="43">
        <f t="shared" si="0"/>
        <v>2026</v>
      </c>
      <c r="I3" s="43">
        <f t="shared" si="0"/>
        <v>2027</v>
      </c>
      <c r="J3" s="43">
        <f t="shared" si="0"/>
        <v>2028</v>
      </c>
      <c r="K3" s="43">
        <f t="shared" si="0"/>
        <v>2029</v>
      </c>
      <c r="L3" s="43">
        <f t="shared" si="0"/>
        <v>2030</v>
      </c>
      <c r="M3" s="43">
        <f t="shared" si="0"/>
        <v>2031</v>
      </c>
      <c r="N3" s="43">
        <f>M3+1</f>
        <v>2032</v>
      </c>
      <c r="O3" s="43">
        <f>N3+1</f>
        <v>2033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</row>
    <row r="4" spans="2:96" x14ac:dyDescent="0.2">
      <c r="B4" s="145" t="s">
        <v>153</v>
      </c>
      <c r="C4" s="91"/>
      <c r="D4" s="146">
        <v>35929</v>
      </c>
      <c r="E4" s="146">
        <v>24977</v>
      </c>
      <c r="F4" s="146">
        <v>30737</v>
      </c>
      <c r="G4" s="146">
        <v>29943</v>
      </c>
      <c r="H4" s="147">
        <f>'Balance Sheet'!G$7</f>
        <v>35934</v>
      </c>
      <c r="I4" s="147">
        <f>H40</f>
        <v>45173.300061507936</v>
      </c>
      <c r="J4" s="147">
        <f t="shared" ref="J4:O4" si="1">I40</f>
        <v>68403.498517584667</v>
      </c>
      <c r="K4" s="147">
        <f t="shared" si="1"/>
        <v>105685.97114253767</v>
      </c>
      <c r="L4" s="147">
        <f t="shared" si="1"/>
        <v>159917.9839399159</v>
      </c>
      <c r="M4" s="147">
        <f t="shared" si="1"/>
        <v>228001.01162488345</v>
      </c>
      <c r="N4" s="147">
        <f t="shared" si="1"/>
        <v>306150.70562386047</v>
      </c>
      <c r="O4" s="147">
        <f t="shared" si="1"/>
        <v>398241.16939193947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</row>
    <row r="5" spans="2:96" x14ac:dyDescent="0.2">
      <c r="B5" s="52"/>
      <c r="C5" s="12"/>
      <c r="D5" s="84"/>
      <c r="E5" s="84"/>
      <c r="F5" s="84"/>
      <c r="G5" s="84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</row>
    <row r="6" spans="2:96" x14ac:dyDescent="0.2">
      <c r="B6" s="142" t="s">
        <v>101</v>
      </c>
      <c r="C6" s="12"/>
      <c r="D6" s="84"/>
      <c r="E6" s="84"/>
      <c r="F6" s="84"/>
      <c r="G6" s="84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</row>
    <row r="7" spans="2:96" x14ac:dyDescent="0.2">
      <c r="B7" s="52" t="s">
        <v>107</v>
      </c>
      <c r="C7" s="12"/>
      <c r="D7" s="27">
        <v>99803</v>
      </c>
      <c r="E7" s="94">
        <v>96995</v>
      </c>
      <c r="F7" s="94">
        <v>93736</v>
      </c>
      <c r="G7" s="94">
        <v>112010</v>
      </c>
      <c r="H7" s="148">
        <f>'Income Statement'!H22</f>
        <v>120193.29364896001</v>
      </c>
      <c r="I7" s="148">
        <f>'Income Statement'!I22</f>
        <v>129251.3081292468</v>
      </c>
      <c r="J7" s="148">
        <f>'Income Statement'!J22</f>
        <v>138366.39207683751</v>
      </c>
      <c r="K7" s="148">
        <f>'Income Statement'!K22</f>
        <v>147031.21371928602</v>
      </c>
      <c r="L7" s="148">
        <f>'Income Statement'!L22</f>
        <v>156814.00299657678</v>
      </c>
      <c r="M7" s="148">
        <f>'Income Statement'!M22</f>
        <v>165972.9913797412</v>
      </c>
      <c r="N7" s="148">
        <f>'Income Statement'!N22</f>
        <v>175766.01584462661</v>
      </c>
      <c r="O7" s="148">
        <f>'Income Statement'!O22</f>
        <v>185628.18321352461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</row>
    <row r="8" spans="2:96" x14ac:dyDescent="0.2">
      <c r="B8" s="52" t="s">
        <v>102</v>
      </c>
      <c r="C8" s="12"/>
      <c r="D8" s="27"/>
      <c r="E8" s="94"/>
      <c r="F8" s="94"/>
      <c r="G8" s="94"/>
      <c r="H8" s="149"/>
      <c r="I8" s="149"/>
      <c r="J8" s="149"/>
      <c r="K8" s="149"/>
      <c r="L8" s="149"/>
      <c r="M8" s="149"/>
      <c r="N8" s="149"/>
      <c r="O8" s="149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</row>
    <row r="9" spans="2:96" x14ac:dyDescent="0.2">
      <c r="B9" s="52" t="s">
        <v>108</v>
      </c>
      <c r="C9" s="12"/>
      <c r="D9" s="27">
        <v>11104</v>
      </c>
      <c r="E9" s="94">
        <v>11519</v>
      </c>
      <c r="F9" s="94">
        <v>11445</v>
      </c>
      <c r="G9" s="94">
        <v>11698</v>
      </c>
      <c r="H9" s="148">
        <f>Schedules!H31</f>
        <v>8723.6589999999997</v>
      </c>
      <c r="I9" s="148">
        <f>Schedules!I31</f>
        <v>8889.4085209999994</v>
      </c>
      <c r="J9" s="148">
        <f>Schedules!J31</f>
        <v>9058.3072828989989</v>
      </c>
      <c r="K9" s="148">
        <f>Schedules!K31</f>
        <v>9230.4151212740799</v>
      </c>
      <c r="L9" s="148">
        <f>Schedules!L31</f>
        <v>9405.7930085782864</v>
      </c>
      <c r="M9" s="148">
        <f>Schedules!M31</f>
        <v>9584.5030757412733</v>
      </c>
      <c r="N9" s="148">
        <f>Schedules!N31</f>
        <v>9766.6086341803566</v>
      </c>
      <c r="O9" s="148">
        <f>Schedules!O31</f>
        <v>9952.1741982297826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</row>
    <row r="10" spans="2:96" x14ac:dyDescent="0.2">
      <c r="B10" s="52" t="s">
        <v>109</v>
      </c>
      <c r="C10" s="12"/>
      <c r="D10" s="27">
        <v>9038</v>
      </c>
      <c r="E10" s="94">
        <v>10833</v>
      </c>
      <c r="F10" s="94">
        <v>11688</v>
      </c>
      <c r="G10" s="94">
        <v>12863</v>
      </c>
      <c r="H10" s="148">
        <f>'Income Statement'!H$8*Assumptions!H$48</f>
        <v>13766.930120000001</v>
      </c>
      <c r="I10" s="148">
        <f>'Income Statement'!I$8*Assumptions!I$48</f>
        <v>14533.786570350001</v>
      </c>
      <c r="J10" s="148">
        <f>'Income Statement'!J$8*Assumptions!J$48</f>
        <v>15325.26637219875</v>
      </c>
      <c r="K10" s="148">
        <f>'Income Statement'!K$8*Assumptions!K$48</f>
        <v>16091.791028702295</v>
      </c>
      <c r="L10" s="148">
        <f>'Income Statement'!L$8*Assumptions!L$48</f>
        <v>16862.422622148271</v>
      </c>
      <c r="M10" s="148">
        <f>'Income Statement'!M$8*Assumptions!M$48</f>
        <v>17591.021624039196</v>
      </c>
      <c r="N10" s="148">
        <f>'Income Statement'!N$8*Assumptions!N$48</f>
        <v>18365.240559724105</v>
      </c>
      <c r="O10" s="148">
        <f>'Income Statement'!O$8*Assumptions!O$48</f>
        <v>19124.9690237539</v>
      </c>
      <c r="P10" s="14" t="s">
        <v>186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</row>
    <row r="11" spans="2:96" x14ac:dyDescent="0.2">
      <c r="B11" s="52" t="s">
        <v>110</v>
      </c>
      <c r="C11" s="12"/>
      <c r="D11" s="27">
        <v>1006</v>
      </c>
      <c r="E11" s="94">
        <v>-2227</v>
      </c>
      <c r="F11" s="94">
        <v>-2266</v>
      </c>
      <c r="G11" s="94">
        <v>-89</v>
      </c>
      <c r="H11" s="150">
        <f>0</f>
        <v>0</v>
      </c>
      <c r="I11" s="150">
        <f>0</f>
        <v>0</v>
      </c>
      <c r="J11" s="150">
        <f>0</f>
        <v>0</v>
      </c>
      <c r="K11" s="150">
        <f>0</f>
        <v>0</v>
      </c>
      <c r="L11" s="150">
        <f>0</f>
        <v>0</v>
      </c>
      <c r="M11" s="150">
        <f>0</f>
        <v>0</v>
      </c>
      <c r="N11" s="150">
        <f>0</f>
        <v>0</v>
      </c>
      <c r="O11" s="150">
        <f>0</f>
        <v>0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</row>
    <row r="12" spans="2:96" x14ac:dyDescent="0.2">
      <c r="B12" s="52" t="s">
        <v>103</v>
      </c>
      <c r="C12" s="12"/>
      <c r="D12" s="27"/>
      <c r="E12" s="94"/>
      <c r="F12" s="94"/>
      <c r="G12" s="94"/>
      <c r="H12" s="151"/>
      <c r="I12" s="151"/>
      <c r="J12" s="151"/>
      <c r="K12" s="151"/>
      <c r="L12" s="151"/>
      <c r="M12" s="151"/>
      <c r="N12" s="151"/>
      <c r="O12" s="151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</row>
    <row r="13" spans="2:96" x14ac:dyDescent="0.2">
      <c r="B13" s="52" t="s">
        <v>131</v>
      </c>
      <c r="C13" s="12"/>
      <c r="D13" s="27">
        <v>-1823</v>
      </c>
      <c r="E13" s="94">
        <v>-1688</v>
      </c>
      <c r="F13" s="94">
        <v>-3788</v>
      </c>
      <c r="G13" s="94">
        <v>-6682</v>
      </c>
      <c r="H13" s="152">
        <f>-('Balance Sheet'!H$9-'Balance Sheet'!G$9)</f>
        <v>-2807.4060273972646</v>
      </c>
      <c r="I13" s="152">
        <f>-('Balance Sheet'!I$9-'Balance Sheet'!H$9)</f>
        <v>-2372.0703280821908</v>
      </c>
      <c r="J13" s="152">
        <f>-('Balance Sheet'!J$9-'Balance Sheet'!I$9)</f>
        <v>-2448.2362408047993</v>
      </c>
      <c r="K13" s="152">
        <f>-('Balance Sheet'!K$9-'Balance Sheet'!J$9)</f>
        <v>-2371.0440103954024</v>
      </c>
      <c r="L13" s="152">
        <f>-('Balance Sheet'!L$9-'Balance Sheet'!K$9)</f>
        <v>-2383.7477481758033</v>
      </c>
      <c r="M13" s="152">
        <f>-('Balance Sheet'!M$9-'Balance Sheet'!L$9)</f>
        <v>-2253.7308940505827</v>
      </c>
      <c r="N13" s="152">
        <f>-('Balance Sheet'!N$9-'Balance Sheet'!M$9)</f>
        <v>-2394.8442553222994</v>
      </c>
      <c r="O13" s="152">
        <f>-('Balance Sheet'!O$9-'Balance Sheet'!N$9)</f>
        <v>-2350.0217623546487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</row>
    <row r="14" spans="2:96" x14ac:dyDescent="0.2">
      <c r="B14" s="52" t="s">
        <v>111</v>
      </c>
      <c r="C14" s="12"/>
      <c r="D14" s="27">
        <v>-7520</v>
      </c>
      <c r="E14" s="94">
        <v>1271</v>
      </c>
      <c r="F14" s="94">
        <v>-1356</v>
      </c>
      <c r="G14" s="94">
        <v>-347</v>
      </c>
      <c r="H14" s="152">
        <f>-('Balance Sheet'!H$10-'Balance Sheet'!G$10)</f>
        <v>-165.89999999999418</v>
      </c>
      <c r="I14" s="152">
        <f>-('Balance Sheet'!I$10-'Balance Sheet'!H$10)</f>
        <v>-166.729499999994</v>
      </c>
      <c r="J14" s="152">
        <f>-('Balance Sheet'!J$10-'Balance Sheet'!I$10)</f>
        <v>-167.56314749999729</v>
      </c>
      <c r="K14" s="152">
        <f>-('Balance Sheet'!K$10-'Balance Sheet'!J$10)</f>
        <v>-168.40096323749458</v>
      </c>
      <c r="L14" s="152">
        <f>-('Balance Sheet'!L$10-'Balance Sheet'!K$10)</f>
        <v>-169.24296805368067</v>
      </c>
      <c r="M14" s="152">
        <f>-('Balance Sheet'!M$10-'Balance Sheet'!L$10)</f>
        <v>-170.08918289394933</v>
      </c>
      <c r="N14" s="152">
        <f>-('Balance Sheet'!N$10-'Balance Sheet'!M$10)</f>
        <v>-170.93962880842446</v>
      </c>
      <c r="O14" s="152">
        <f>-('Balance Sheet'!O$10-'Balance Sheet'!N$10)</f>
        <v>-171.79432695246214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</row>
    <row r="15" spans="2:96" x14ac:dyDescent="0.2">
      <c r="B15" s="52" t="s">
        <v>63</v>
      </c>
      <c r="C15" s="12"/>
      <c r="D15" s="27">
        <v>1484</v>
      </c>
      <c r="E15" s="94">
        <v>-1618</v>
      </c>
      <c r="F15" s="94">
        <v>-1046</v>
      </c>
      <c r="G15" s="94">
        <v>1400</v>
      </c>
      <c r="H15" s="153">
        <f>-('Balance Sheet'!H11-'Balance Sheet'!G11)</f>
        <v>-96.596468712329624</v>
      </c>
      <c r="I15" s="153">
        <f>-('Balance Sheet'!I11-'Balance Sheet'!H11)</f>
        <v>-254.5278392773962</v>
      </c>
      <c r="J15" s="153">
        <f>-('Balance Sheet'!J11-'Balance Sheet'!I11)</f>
        <v>-257.37319307438156</v>
      </c>
      <c r="K15" s="153">
        <f>-('Balance Sheet'!K11-'Balance Sheet'!J11)</f>
        <v>-252.43535786446773</v>
      </c>
      <c r="L15" s="153">
        <f>-('Balance Sheet'!L11-'Balance Sheet'!K11)</f>
        <v>-221.1762373915808</v>
      </c>
      <c r="M15" s="153">
        <f>-('Balance Sheet'!M11-'Balance Sheet'!L11)</f>
        <v>-209.87026760319714</v>
      </c>
      <c r="N15" s="153">
        <f>-('Balance Sheet'!N11-'Balance Sheet'!M11)</f>
        <v>-220.87761297199722</v>
      </c>
      <c r="O15" s="153">
        <f>-('Balance Sheet'!O11-'Balance Sheet'!N11)</f>
        <v>-207.85169951127136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</row>
    <row r="16" spans="2:96" x14ac:dyDescent="0.2">
      <c r="B16" s="52" t="s">
        <v>112</v>
      </c>
      <c r="C16" s="12"/>
      <c r="D16" s="27">
        <v>-6499</v>
      </c>
      <c r="E16" s="94">
        <v>-5684</v>
      </c>
      <c r="F16" s="94">
        <v>-11731</v>
      </c>
      <c r="G16" s="94">
        <v>-9197</v>
      </c>
      <c r="H16" s="152">
        <f>-('Balance Sheet'!H12-'Balance Sheet'!G12)-('Balance Sheet'!H18-'Balance Sheet'!G18)</f>
        <v>-1966.2400000000089</v>
      </c>
      <c r="I16" s="152">
        <f>-('Balance Sheet'!I12-'Balance Sheet'!H12)-('Balance Sheet'!I18-'Balance Sheet'!H18)</f>
        <v>-2005.5648000000074</v>
      </c>
      <c r="J16" s="152">
        <f>-('Balance Sheet'!J12-'Balance Sheet'!I12)-('Balance Sheet'!J18-'Balance Sheet'!I18)</f>
        <v>-2045.6760960000011</v>
      </c>
      <c r="K16" s="152">
        <f>-('Balance Sheet'!K12-'Balance Sheet'!J12)-('Balance Sheet'!K18-'Balance Sheet'!J18)</f>
        <v>-2086.5896179199954</v>
      </c>
      <c r="L16" s="152">
        <f>-('Balance Sheet'!L12-'Balance Sheet'!K12)-('Balance Sheet'!L18-'Balance Sheet'!K18)</f>
        <v>-2128.321410278395</v>
      </c>
      <c r="M16" s="152">
        <f>-('Balance Sheet'!M12-'Balance Sheet'!L12)-('Balance Sheet'!M18-'Balance Sheet'!L18)</f>
        <v>-2170.88783848397</v>
      </c>
      <c r="N16" s="152">
        <f>-('Balance Sheet'!N12-'Balance Sheet'!M12)-('Balance Sheet'!N18-'Balance Sheet'!M18)</f>
        <v>-2214.3055952536524</v>
      </c>
      <c r="O16" s="152">
        <f>-('Balance Sheet'!O12-'Balance Sheet'!N12)-('Balance Sheet'!O18-'Balance Sheet'!N18)</f>
        <v>-2258.5917071587173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</row>
    <row r="17" spans="2:96" x14ac:dyDescent="0.2">
      <c r="B17" s="52" t="s">
        <v>69</v>
      </c>
      <c r="C17" s="12"/>
      <c r="D17" s="27">
        <v>9448</v>
      </c>
      <c r="E17" s="94">
        <v>-1889</v>
      </c>
      <c r="F17" s="94">
        <v>6020</v>
      </c>
      <c r="G17" s="94">
        <v>902</v>
      </c>
      <c r="H17" s="152">
        <f>'Balance Sheet'!H24-'Balance Sheet'!G24</f>
        <v>4437.621544657537</v>
      </c>
      <c r="I17" s="152">
        <f>'Balance Sheet'!I24-'Balance Sheet'!H24</f>
        <v>3252.3001685445197</v>
      </c>
      <c r="J17" s="152">
        <f>'Balance Sheet'!J24-'Balance Sheet'!I24</f>
        <v>3288.6574670615228</v>
      </c>
      <c r="K17" s="152">
        <f>'Balance Sheet'!K24-'Balance Sheet'!J24</f>
        <v>3225.562906045976</v>
      </c>
      <c r="L17" s="152">
        <f>'Balance Sheet'!L24-'Balance Sheet'!K24</f>
        <v>2826.1408111146593</v>
      </c>
      <c r="M17" s="152">
        <f>'Balance Sheet'!M24-'Balance Sheet'!L24</f>
        <v>2681.6756415964046</v>
      </c>
      <c r="N17" s="152">
        <f>'Balance Sheet'!N24-'Balance Sheet'!M24</f>
        <v>2822.3250546421914</v>
      </c>
      <c r="O17" s="152">
        <f>'Balance Sheet'!O24-'Balance Sheet'!N24</f>
        <v>2655.8828270884696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</row>
    <row r="18" spans="2:96" x14ac:dyDescent="0.2">
      <c r="B18" s="52" t="s">
        <v>113</v>
      </c>
      <c r="C18" s="12"/>
      <c r="D18" s="27">
        <v>6110</v>
      </c>
      <c r="E18" s="94">
        <v>3031</v>
      </c>
      <c r="F18" s="94">
        <v>15552</v>
      </c>
      <c r="G18" s="94">
        <v>-11076</v>
      </c>
      <c r="H18" s="148">
        <f>('Balance Sheet'!H25-'Balance Sheet'!G25)+('Balance Sheet'!H26-'Balance Sheet'!G26)+('Balance Sheet'!H33-'Balance Sheet'!G33)</f>
        <v>3064.2200000000084</v>
      </c>
      <c r="I18" s="148">
        <f>('Balance Sheet'!I25-'Balance Sheet'!H25)+('Balance Sheet'!I26-'Balance Sheet'!H26)+('Balance Sheet'!I33-'Balance Sheet'!H33)</f>
        <v>3197.9444000000058</v>
      </c>
      <c r="J18" s="148">
        <f>('Balance Sheet'!J25-'Balance Sheet'!I25)+('Balance Sheet'!J26-'Balance Sheet'!I26)+('Balance Sheet'!J33-'Balance Sheet'!I33)</f>
        <v>3341.5872880000115</v>
      </c>
      <c r="K18" s="148">
        <f>('Balance Sheet'!K25-'Balance Sheet'!J25)+('Balance Sheet'!K26-'Balance Sheet'!J26)+('Balance Sheet'!K33-'Balance Sheet'!J33)</f>
        <v>3496.0714337599984</v>
      </c>
      <c r="L18" s="148">
        <f>('Balance Sheet'!L25-'Balance Sheet'!K25)+('Balance Sheet'!L26-'Balance Sheet'!K26)+('Balance Sheet'!L33-'Balance Sheet'!K33)</f>
        <v>3662.4105024352084</v>
      </c>
      <c r="M18" s="148">
        <f>('Balance Sheet'!M25-'Balance Sheet'!L25)+('Balance Sheet'!M26-'Balance Sheet'!L26)+('Balance Sheet'!M33-'Balance Sheet'!L33)</f>
        <v>3841.7181164839058</v>
      </c>
      <c r="N18" s="148">
        <f>('Balance Sheet'!N25-'Balance Sheet'!M25)+('Balance Sheet'!N26-'Balance Sheet'!M26)+('Balance Sheet'!N33-'Balance Sheet'!M33)</f>
        <v>4035.2178232135775</v>
      </c>
      <c r="O18" s="148">
        <f>('Balance Sheet'!O25-'Balance Sheet'!N25)+('Balance Sheet'!O26-'Balance Sheet'!N26)+('Balance Sheet'!O33-'Balance Sheet'!N33)</f>
        <v>4244.2540585178613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</row>
    <row r="19" spans="2:96" x14ac:dyDescent="0.2">
      <c r="B19" s="154" t="s">
        <v>114</v>
      </c>
      <c r="C19" s="21"/>
      <c r="D19" s="90">
        <f>SUM(D7:D18)</f>
        <v>122151</v>
      </c>
      <c r="E19" s="155">
        <f>SUM(E7:E18)</f>
        <v>110543</v>
      </c>
      <c r="F19" s="155">
        <f t="shared" ref="F19:M19" si="2">SUM(F7:F18)</f>
        <v>118254</v>
      </c>
      <c r="G19" s="155">
        <f t="shared" si="2"/>
        <v>111482</v>
      </c>
      <c r="H19" s="155">
        <f t="shared" si="2"/>
        <v>145149.58181750795</v>
      </c>
      <c r="I19" s="155">
        <f t="shared" si="2"/>
        <v>154325.85532178174</v>
      </c>
      <c r="J19" s="155">
        <f t="shared" si="2"/>
        <v>164461.36180961764</v>
      </c>
      <c r="K19" s="155">
        <f t="shared" si="2"/>
        <v>174196.58425965096</v>
      </c>
      <c r="L19" s="155">
        <f t="shared" si="2"/>
        <v>184668.28157695377</v>
      </c>
      <c r="M19" s="155">
        <f t="shared" si="2"/>
        <v>194867.33165457027</v>
      </c>
      <c r="N19" s="155">
        <f>SUM(N7:N18)</f>
        <v>205754.44082403049</v>
      </c>
      <c r="O19" s="155">
        <f>SUM(O7:O18)</f>
        <v>216617.20382513752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</row>
    <row r="20" spans="2:96" x14ac:dyDescent="0.2">
      <c r="B20" s="52"/>
      <c r="C20" s="12"/>
      <c r="D20" s="12"/>
      <c r="E20" s="95"/>
      <c r="F20" s="95"/>
      <c r="G20" s="95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</row>
    <row r="21" spans="2:96" x14ac:dyDescent="0.2">
      <c r="B21" s="142" t="s">
        <v>104</v>
      </c>
      <c r="C21" s="12"/>
      <c r="D21" s="12"/>
      <c r="E21" s="95"/>
      <c r="F21" s="95"/>
      <c r="G21" s="95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</row>
    <row r="22" spans="2:96" x14ac:dyDescent="0.2">
      <c r="B22" s="52" t="s">
        <v>115</v>
      </c>
      <c r="C22" s="12"/>
      <c r="D22" s="94">
        <v>-76923</v>
      </c>
      <c r="E22" s="94">
        <v>-29513</v>
      </c>
      <c r="F22" s="94">
        <v>-48656</v>
      </c>
      <c r="G22" s="94">
        <v>-24407</v>
      </c>
      <c r="H22" s="148">
        <f>-('Balance Sheet'!H8-'Balance Sheet'!G8)-('Balance Sheet'!H16-'Balance Sheet'!G16)</f>
        <v>1929.7200000000084</v>
      </c>
      <c r="I22" s="148">
        <f>-('Balance Sheet'!I8-'Balance Sheet'!H8)-('Balance Sheet'!I16-'Balance Sheet'!H16)</f>
        <v>1891.125600000003</v>
      </c>
      <c r="J22" s="148">
        <f>-('Balance Sheet'!J8-'Balance Sheet'!I8)-('Balance Sheet'!J16-'Balance Sheet'!I16)</f>
        <v>1853.3030880000042</v>
      </c>
      <c r="K22" s="148">
        <f>-('Balance Sheet'!K8-'Balance Sheet'!J8)-('Balance Sheet'!K16-'Balance Sheet'!J16)</f>
        <v>1816.23702624</v>
      </c>
      <c r="L22" s="148">
        <f>-('Balance Sheet'!L8-'Balance Sheet'!K8)-('Balance Sheet'!L16-'Balance Sheet'!K16)</f>
        <v>1779.9122857152033</v>
      </c>
      <c r="M22" s="148">
        <f>-('Balance Sheet'!M8-'Balance Sheet'!L8)-('Balance Sheet'!M16-'Balance Sheet'!L16)</f>
        <v>1744.3140400008997</v>
      </c>
      <c r="N22" s="148">
        <f>-('Balance Sheet'!N8-'Balance Sheet'!M8)-('Balance Sheet'!N16-'Balance Sheet'!M16)</f>
        <v>1709.4277592008821</v>
      </c>
      <c r="O22" s="148">
        <f>-('Balance Sheet'!O8-'Balance Sheet'!N8)-('Balance Sheet'!O16-'Balance Sheet'!N16)</f>
        <v>1675.2392040168579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</row>
    <row r="23" spans="2:96" x14ac:dyDescent="0.2">
      <c r="B23" s="52" t="s">
        <v>116</v>
      </c>
      <c r="C23" s="12"/>
      <c r="D23" s="27">
        <v>29917</v>
      </c>
      <c r="E23" s="94">
        <v>39686</v>
      </c>
      <c r="F23" s="94">
        <v>51211</v>
      </c>
      <c r="G23" s="94">
        <v>40907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</row>
    <row r="24" spans="2:96" x14ac:dyDescent="0.2">
      <c r="B24" s="52" t="s">
        <v>117</v>
      </c>
      <c r="C24" s="12"/>
      <c r="D24" s="27">
        <v>37446</v>
      </c>
      <c r="E24" s="94">
        <v>5828</v>
      </c>
      <c r="F24" s="94">
        <v>11135</v>
      </c>
      <c r="G24" s="94">
        <v>12890</v>
      </c>
      <c r="H24" s="12"/>
      <c r="I24" s="12"/>
      <c r="J24" s="46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</row>
    <row r="25" spans="2:96" x14ac:dyDescent="0.2">
      <c r="B25" s="52" t="s">
        <v>154</v>
      </c>
      <c r="C25" s="12"/>
      <c r="D25" s="94">
        <v>-10708</v>
      </c>
      <c r="E25" s="94">
        <v>-10959</v>
      </c>
      <c r="F25" s="94">
        <v>-9447</v>
      </c>
      <c r="G25" s="94">
        <v>-12715</v>
      </c>
      <c r="H25" s="152">
        <f>-Schedules!H30</f>
        <v>-13766.930120000001</v>
      </c>
      <c r="I25" s="152">
        <f>-Schedules!I30</f>
        <v>-14533.786570350001</v>
      </c>
      <c r="J25" s="152">
        <f>-Schedules!J30</f>
        <v>-15325.26637219875</v>
      </c>
      <c r="K25" s="152">
        <f>-Schedules!K30</f>
        <v>-16091.791028702295</v>
      </c>
      <c r="L25" s="152">
        <f>-Schedules!L30</f>
        <v>-16862.422622148271</v>
      </c>
      <c r="M25" s="152">
        <f>-Schedules!M30</f>
        <v>-17591.021624039196</v>
      </c>
      <c r="N25" s="152">
        <f>-Schedules!N30</f>
        <v>-18365.240559724105</v>
      </c>
      <c r="O25" s="152">
        <f>-Schedules!O30</f>
        <v>-19124.9690237539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</row>
    <row r="26" spans="2:96" x14ac:dyDescent="0.2">
      <c r="B26" s="52" t="s">
        <v>110</v>
      </c>
      <c r="C26" s="12"/>
      <c r="D26" s="94">
        <v>-2086</v>
      </c>
      <c r="E26" s="94">
        <v>-1337</v>
      </c>
      <c r="F26" s="94">
        <v>-1308</v>
      </c>
      <c r="G26" s="94">
        <v>-1480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</row>
    <row r="27" spans="2:96" x14ac:dyDescent="0.2">
      <c r="B27" s="154" t="s">
        <v>118</v>
      </c>
      <c r="C27" s="21"/>
      <c r="D27" s="155">
        <f>SUM(D22:D26)</f>
        <v>-22354</v>
      </c>
      <c r="E27" s="155">
        <f>SUM(E22:E26)</f>
        <v>3705</v>
      </c>
      <c r="F27" s="155">
        <f t="shared" ref="F27:M27" si="3">SUM(F22:F26)</f>
        <v>2935</v>
      </c>
      <c r="G27" s="155">
        <f t="shared" si="3"/>
        <v>15195</v>
      </c>
      <c r="H27" s="155">
        <f t="shared" si="3"/>
        <v>-11837.210119999992</v>
      </c>
      <c r="I27" s="155">
        <f t="shared" si="3"/>
        <v>-12642.660970349998</v>
      </c>
      <c r="J27" s="155">
        <f t="shared" si="3"/>
        <v>-13471.963284198746</v>
      </c>
      <c r="K27" s="155">
        <f t="shared" si="3"/>
        <v>-14275.554002462295</v>
      </c>
      <c r="L27" s="155">
        <f t="shared" si="3"/>
        <v>-15082.510336433068</v>
      </c>
      <c r="M27" s="155">
        <f t="shared" si="3"/>
        <v>-15846.707584038297</v>
      </c>
      <c r="N27" s="155">
        <f>SUM(N22:N26)</f>
        <v>-16655.812800523221</v>
      </c>
      <c r="O27" s="155">
        <f>SUM(O22:O26)</f>
        <v>-17449.72981973704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</row>
    <row r="28" spans="2:96" x14ac:dyDescent="0.2">
      <c r="B28" s="52"/>
      <c r="C28" s="12"/>
      <c r="D28" s="12"/>
      <c r="E28" s="95"/>
      <c r="F28" s="95"/>
      <c r="G28" s="9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</row>
    <row r="29" spans="2:96" x14ac:dyDescent="0.2">
      <c r="B29" s="52" t="s">
        <v>105</v>
      </c>
      <c r="C29" s="12"/>
      <c r="D29" s="27"/>
      <c r="E29" s="94"/>
      <c r="F29" s="94"/>
      <c r="G29" s="94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</row>
    <row r="30" spans="2:96" x14ac:dyDescent="0.2">
      <c r="B30" s="52" t="s">
        <v>119</v>
      </c>
      <c r="C30" s="12"/>
      <c r="D30" s="94">
        <v>-6223</v>
      </c>
      <c r="E30" s="94">
        <v>-5431</v>
      </c>
      <c r="F30" s="94">
        <v>-5441</v>
      </c>
      <c r="G30" s="94">
        <v>-5960</v>
      </c>
      <c r="H30" s="152">
        <f>-'Income Statement'!H8*Assumptions!H49</f>
        <v>-6350.5516360000001</v>
      </c>
      <c r="I30" s="152">
        <f>-'Income Statement'!I8*Assumptions!I49</f>
        <v>-6704.2950953550007</v>
      </c>
      <c r="J30" s="152">
        <f>-'Income Statement'!J8*Assumptions!J49</f>
        <v>-7069.3970684658752</v>
      </c>
      <c r="K30" s="152">
        <f>-'Income Statement'!K8*Assumptions!K49</f>
        <v>-7422.9874745304132</v>
      </c>
      <c r="L30" s="152">
        <f>-'Income Statement'!L8*Assumptions!L49</f>
        <v>-7778.472370861944</v>
      </c>
      <c r="M30" s="152">
        <f>-'Income Statement'!M8*Assumptions!M49</f>
        <v>-8114.5680394761457</v>
      </c>
      <c r="N30" s="152">
        <f>-'Income Statement'!N8*Assumptions!N49</f>
        <v>-8471.7077420662808</v>
      </c>
      <c r="O30" s="152">
        <f>-'Income Statement'!O8*Assumptions!O49</f>
        <v>-8822.1631303122831</v>
      </c>
      <c r="P30" s="14" t="s">
        <v>187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</row>
    <row r="31" spans="2:96" x14ac:dyDescent="0.2">
      <c r="B31" s="52" t="s">
        <v>120</v>
      </c>
      <c r="C31" s="12"/>
      <c r="D31" s="94">
        <v>-14841</v>
      </c>
      <c r="E31" s="94">
        <v>-15025</v>
      </c>
      <c r="F31" s="94">
        <v>-15234</v>
      </c>
      <c r="G31" s="94">
        <v>-15421</v>
      </c>
      <c r="H31" s="152">
        <f>-Assumptions!H44</f>
        <v>-16029.52</v>
      </c>
      <c r="I31" s="152">
        <f>-Assumptions!I44</f>
        <v>-16670.700800000002</v>
      </c>
      <c r="J31" s="152">
        <f>-Assumptions!J44</f>
        <v>-17337.528832000004</v>
      </c>
      <c r="K31" s="152">
        <f>-Assumptions!K44</f>
        <v>-18031.029985280005</v>
      </c>
      <c r="L31" s="152">
        <f>-Assumptions!L44</f>
        <v>-18752.271184691206</v>
      </c>
      <c r="M31" s="152">
        <f>-Assumptions!M44</f>
        <v>-19502.362032078854</v>
      </c>
      <c r="N31" s="152">
        <f>-Assumptions!N44</f>
        <v>-20282.456513362009</v>
      </c>
      <c r="O31" s="152">
        <f>-Assumptions!O44</f>
        <v>-21093.754773896489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</row>
    <row r="32" spans="2:96" x14ac:dyDescent="0.2">
      <c r="B32" s="52" t="s">
        <v>121</v>
      </c>
      <c r="C32" s="12"/>
      <c r="D32" s="94">
        <v>-89402</v>
      </c>
      <c r="E32" s="94">
        <v>-77550</v>
      </c>
      <c r="F32" s="94">
        <v>-94949</v>
      </c>
      <c r="G32" s="94">
        <v>-90711</v>
      </c>
      <c r="H32" s="152">
        <f>-Assumptions!H46</f>
        <v>-89300</v>
      </c>
      <c r="I32" s="152">
        <f>-Assumptions!I46</f>
        <v>-85000</v>
      </c>
      <c r="J32" s="152">
        <f>-Assumptions!J46</f>
        <v>-80000</v>
      </c>
      <c r="K32" s="152">
        <f>-Assumptions!K46</f>
        <v>-75000</v>
      </c>
      <c r="L32" s="152">
        <f>-Assumptions!L46</f>
        <v>-70000</v>
      </c>
      <c r="M32" s="152">
        <f>-Assumptions!M46</f>
        <v>-65000</v>
      </c>
      <c r="N32" s="152">
        <f>-Assumptions!N46</f>
        <v>-60000</v>
      </c>
      <c r="O32" s="152">
        <f>-Assumptions!O46</f>
        <v>-55000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</row>
    <row r="33" spans="2:96" x14ac:dyDescent="0.2">
      <c r="B33" s="52" t="s">
        <v>155</v>
      </c>
      <c r="C33" s="12"/>
      <c r="D33" s="27">
        <v>5465</v>
      </c>
      <c r="E33" s="27">
        <v>5228</v>
      </c>
      <c r="F33" s="156">
        <v>0</v>
      </c>
      <c r="G33" s="27">
        <v>4481</v>
      </c>
      <c r="H33" s="150">
        <v>0</v>
      </c>
      <c r="I33" s="150">
        <v>0</v>
      </c>
      <c r="J33" s="150">
        <v>0</v>
      </c>
      <c r="K33" s="150">
        <v>0</v>
      </c>
      <c r="L33" s="150">
        <v>0</v>
      </c>
      <c r="M33" s="150">
        <v>0</v>
      </c>
      <c r="N33" s="150">
        <v>0</v>
      </c>
      <c r="O33" s="150">
        <v>0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</row>
    <row r="34" spans="2:96" x14ac:dyDescent="0.2">
      <c r="B34" s="52" t="s">
        <v>122</v>
      </c>
      <c r="C34" s="12"/>
      <c r="D34" s="94">
        <v>-9543</v>
      </c>
      <c r="E34" s="94">
        <v>-11151</v>
      </c>
      <c r="F34" s="94">
        <v>-9958</v>
      </c>
      <c r="G34" s="94">
        <v>-10932</v>
      </c>
      <c r="H34" s="157">
        <v>-12393</v>
      </c>
      <c r="I34" s="157">
        <v>-10078</v>
      </c>
      <c r="J34" s="157">
        <v>-9300</v>
      </c>
      <c r="K34" s="157">
        <v>-5235</v>
      </c>
      <c r="L34" s="157">
        <v>-4972</v>
      </c>
      <c r="M34" s="157">
        <v>-8254</v>
      </c>
      <c r="N34" s="157">
        <v>-8254</v>
      </c>
      <c r="O34" s="157">
        <v>-8254</v>
      </c>
      <c r="P34" s="14" t="s">
        <v>188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</row>
    <row r="35" spans="2:96" x14ac:dyDescent="0.2">
      <c r="B35" s="52" t="s">
        <v>156</v>
      </c>
      <c r="C35" s="12"/>
      <c r="D35" s="27">
        <v>3955</v>
      </c>
      <c r="E35" s="94">
        <v>-3978</v>
      </c>
      <c r="F35" s="94">
        <v>3960</v>
      </c>
      <c r="G35" s="94">
        <v>-2032</v>
      </c>
      <c r="H35" s="156">
        <v>0</v>
      </c>
      <c r="I35" s="156">
        <v>0</v>
      </c>
      <c r="J35" s="156">
        <v>0</v>
      </c>
      <c r="K35" s="156">
        <v>0</v>
      </c>
      <c r="L35" s="156">
        <v>0</v>
      </c>
      <c r="M35" s="156">
        <v>0</v>
      </c>
      <c r="N35" s="156">
        <v>0</v>
      </c>
      <c r="O35" s="156">
        <v>0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</row>
    <row r="36" spans="2:96" x14ac:dyDescent="0.2">
      <c r="B36" s="52" t="s">
        <v>123</v>
      </c>
      <c r="C36" s="12"/>
      <c r="D36" s="94">
        <v>-160</v>
      </c>
      <c r="E36" s="94">
        <v>-581</v>
      </c>
      <c r="F36" s="94">
        <v>-361</v>
      </c>
      <c r="G36" s="94">
        <v>-111</v>
      </c>
      <c r="H36" s="156">
        <v>0</v>
      </c>
      <c r="I36" s="156">
        <v>0</v>
      </c>
      <c r="J36" s="156">
        <v>0</v>
      </c>
      <c r="K36" s="156">
        <v>0</v>
      </c>
      <c r="L36" s="156">
        <v>0</v>
      </c>
      <c r="M36" s="156">
        <v>0</v>
      </c>
      <c r="N36" s="156">
        <v>0</v>
      </c>
      <c r="O36" s="156">
        <v>0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</row>
    <row r="37" spans="2:96" x14ac:dyDescent="0.2">
      <c r="B37" s="154" t="s">
        <v>124</v>
      </c>
      <c r="C37" s="21"/>
      <c r="D37" s="155">
        <f>SUM(D30:D36)</f>
        <v>-110749</v>
      </c>
      <c r="E37" s="155">
        <f>SUM(E30:E36)</f>
        <v>-108488</v>
      </c>
      <c r="F37" s="155">
        <f>SUM(F30:F36)</f>
        <v>-121983</v>
      </c>
      <c r="G37" s="155">
        <f>SUM(G30:G36)</f>
        <v>-120686</v>
      </c>
      <c r="H37" s="155">
        <f>SUM(H30:H36)</f>
        <v>-124073.07163600001</v>
      </c>
      <c r="I37" s="155">
        <f t="shared" ref="I37:O37" si="4">SUM(I30:I36)</f>
        <v>-118452.99589535501</v>
      </c>
      <c r="J37" s="155">
        <f t="shared" si="4"/>
        <v>-113706.92590046588</v>
      </c>
      <c r="K37" s="155">
        <f t="shared" si="4"/>
        <v>-105689.01745981042</v>
      </c>
      <c r="L37" s="155">
        <f t="shared" si="4"/>
        <v>-101502.74355555314</v>
      </c>
      <c r="M37" s="155">
        <f t="shared" si="4"/>
        <v>-100870.93007155499</v>
      </c>
      <c r="N37" s="155">
        <f t="shared" si="4"/>
        <v>-97008.164255428288</v>
      </c>
      <c r="O37" s="155">
        <f t="shared" si="4"/>
        <v>-93169.917904208764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</row>
    <row r="38" spans="2:96" x14ac:dyDescent="0.2">
      <c r="B38" s="52"/>
      <c r="C38" s="12"/>
      <c r="D38" s="12"/>
      <c r="E38" s="95"/>
      <c r="F38" s="95"/>
      <c r="G38" s="95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</row>
    <row r="39" spans="2:96" x14ac:dyDescent="0.2">
      <c r="B39" s="52" t="s">
        <v>157</v>
      </c>
      <c r="C39" s="91"/>
      <c r="D39" s="158">
        <v>-10952</v>
      </c>
      <c r="E39" s="158">
        <v>5760</v>
      </c>
      <c r="F39" s="158">
        <v>-794</v>
      </c>
      <c r="G39" s="158">
        <v>5991</v>
      </c>
      <c r="H39" s="159">
        <f t="shared" ref="H39:O39" si="5">H19+H27+H37</f>
        <v>9239.3000615079363</v>
      </c>
      <c r="I39" s="159">
        <f t="shared" si="5"/>
        <v>23230.198456076731</v>
      </c>
      <c r="J39" s="159">
        <f t="shared" si="5"/>
        <v>37282.472624953007</v>
      </c>
      <c r="K39" s="159">
        <f t="shared" si="5"/>
        <v>54232.012797378236</v>
      </c>
      <c r="L39" s="159">
        <f t="shared" si="5"/>
        <v>68083.027684967557</v>
      </c>
      <c r="M39" s="159">
        <f t="shared" si="5"/>
        <v>78149.693998976989</v>
      </c>
      <c r="N39" s="159">
        <f t="shared" si="5"/>
        <v>92090.463768078989</v>
      </c>
      <c r="O39" s="159">
        <f t="shared" si="5"/>
        <v>105997.55610119173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</row>
    <row r="40" spans="2:96" ht="17" thickBot="1" x14ac:dyDescent="0.25">
      <c r="B40" s="160" t="s">
        <v>158</v>
      </c>
      <c r="C40" s="133"/>
      <c r="D40" s="161">
        <f>D4+D39</f>
        <v>24977</v>
      </c>
      <c r="E40" s="161">
        <f t="shared" ref="E40:G40" si="6">E4+E39</f>
        <v>30737</v>
      </c>
      <c r="F40" s="161">
        <f t="shared" si="6"/>
        <v>29943</v>
      </c>
      <c r="G40" s="161">
        <f t="shared" si="6"/>
        <v>35934</v>
      </c>
      <c r="H40" s="162">
        <f>H4+H39</f>
        <v>45173.300061507936</v>
      </c>
      <c r="I40" s="162">
        <f t="shared" ref="I40:O40" si="7">I4+I39</f>
        <v>68403.498517584667</v>
      </c>
      <c r="J40" s="162">
        <f t="shared" si="7"/>
        <v>105685.97114253767</v>
      </c>
      <c r="K40" s="162">
        <f t="shared" si="7"/>
        <v>159917.9839399159</v>
      </c>
      <c r="L40" s="162">
        <f t="shared" si="7"/>
        <v>228001.01162488345</v>
      </c>
      <c r="M40" s="162">
        <f t="shared" si="7"/>
        <v>306150.70562386047</v>
      </c>
      <c r="N40" s="162">
        <f t="shared" si="7"/>
        <v>398241.16939193947</v>
      </c>
      <c r="O40" s="162">
        <f t="shared" si="7"/>
        <v>504238.72549313121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</row>
    <row r="41" spans="2:96" ht="17" thickTop="1" x14ac:dyDescent="0.2">
      <c r="B41" s="5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</row>
    <row r="42" spans="2:96" x14ac:dyDescent="0.2">
      <c r="B42" s="52" t="s">
        <v>106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</row>
    <row r="43" spans="2:96" x14ac:dyDescent="0.2">
      <c r="B43" s="52" t="s">
        <v>159</v>
      </c>
      <c r="C43" s="12"/>
      <c r="D43" s="27">
        <v>19573</v>
      </c>
      <c r="E43" s="27">
        <v>18679</v>
      </c>
      <c r="F43" s="27">
        <v>26102</v>
      </c>
      <c r="G43" s="27">
        <v>43369</v>
      </c>
      <c r="H43" s="148">
        <f>'Income Statement'!H21*0.9</f>
        <v>20604.564625536001</v>
      </c>
      <c r="I43" s="148">
        <f>'Income Statement'!I21*0.9</f>
        <v>22157.367107870883</v>
      </c>
      <c r="J43" s="148">
        <f>'Income Statement'!J21*0.9</f>
        <v>23719.95292745786</v>
      </c>
      <c r="K43" s="148">
        <f>'Income Statement'!K21*0.9</f>
        <v>25205.350923306178</v>
      </c>
      <c r="L43" s="148">
        <f>'Income Statement'!L21*0.9</f>
        <v>26882.400513698878</v>
      </c>
      <c r="M43" s="148">
        <f>'Income Statement'!M21*0.9</f>
        <v>28452.512807955634</v>
      </c>
      <c r="N43" s="148">
        <f>'Income Statement'!N21*0.9</f>
        <v>30131.317001935993</v>
      </c>
      <c r="O43" s="148">
        <f>'Income Statement'!O21*0.9</f>
        <v>31821.974265175646</v>
      </c>
      <c r="P43" s="14" t="s">
        <v>189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</row>
    <row r="44" spans="2:96" x14ac:dyDescent="0.2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</row>
    <row r="45" spans="2:96" x14ac:dyDescent="0.2">
      <c r="B45" s="12" t="s">
        <v>269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</row>
    <row r="46" spans="2:96" ht="68" x14ac:dyDescent="0.2">
      <c r="B46" s="227" t="s">
        <v>421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</row>
    <row r="47" spans="2:96" x14ac:dyDescent="0.2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</row>
    <row r="48" spans="2:96" x14ac:dyDescent="0.2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</row>
    <row r="49" spans="2:96" x14ac:dyDescent="0.2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</row>
    <row r="50" spans="2:96" x14ac:dyDescent="0.2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</row>
    <row r="51" spans="2:96" x14ac:dyDescent="0.2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</row>
    <row r="52" spans="2:96" x14ac:dyDescent="0.2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</row>
    <row r="53" spans="2:96" x14ac:dyDescent="0.2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</row>
    <row r="54" spans="2:96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</row>
    <row r="55" spans="2:96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</row>
    <row r="56" spans="2:96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</row>
    <row r="57" spans="2:96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</row>
    <row r="58" spans="2:96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</row>
    <row r="59" spans="2:96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</row>
    <row r="60" spans="2:96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</row>
    <row r="61" spans="2:96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</row>
    <row r="62" spans="2:96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</row>
    <row r="63" spans="2:96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</row>
    <row r="64" spans="2:96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</row>
    <row r="65" spans="2:96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</row>
    <row r="66" spans="2:96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</row>
    <row r="67" spans="2:96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</row>
    <row r="68" spans="2:96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</row>
    <row r="69" spans="2:96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</row>
    <row r="70" spans="2:96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</row>
    <row r="71" spans="2:96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</row>
    <row r="72" spans="2:96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</row>
    <row r="73" spans="2:96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</row>
    <row r="74" spans="2:96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</row>
    <row r="75" spans="2:96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</row>
    <row r="76" spans="2:96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</row>
    <row r="77" spans="2:96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</row>
    <row r="78" spans="2:96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</row>
    <row r="79" spans="2:96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</row>
    <row r="80" spans="2:96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</row>
    <row r="81" spans="2:96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</row>
    <row r="82" spans="2:96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</row>
    <row r="83" spans="2:96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</row>
    <row r="84" spans="2:96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</row>
    <row r="85" spans="2:96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</row>
    <row r="86" spans="2:96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</row>
    <row r="87" spans="2:96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</row>
    <row r="88" spans="2:96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</row>
    <row r="89" spans="2:96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</row>
    <row r="90" spans="2:96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</row>
    <row r="91" spans="2:96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</row>
    <row r="92" spans="2:96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</row>
    <row r="93" spans="2:96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</row>
    <row r="94" spans="2:96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</row>
    <row r="95" spans="2:96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</row>
    <row r="96" spans="2:96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</row>
    <row r="97" spans="2:96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</row>
    <row r="98" spans="2:96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</row>
    <row r="99" spans="2:96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</row>
    <row r="100" spans="2:96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</row>
    <row r="101" spans="2:96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</row>
    <row r="102" spans="2:96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</row>
    <row r="103" spans="2:96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</row>
    <row r="104" spans="2:96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</row>
    <row r="105" spans="2:96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</row>
    <row r="106" spans="2:96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</row>
    <row r="107" spans="2:96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</row>
    <row r="108" spans="2:96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</row>
    <row r="109" spans="2:96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</row>
    <row r="110" spans="2:96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</row>
    <row r="111" spans="2:96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</row>
    <row r="112" spans="2:96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</row>
    <row r="113" spans="2:96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</row>
    <row r="114" spans="2:96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</row>
    <row r="115" spans="2:96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</row>
    <row r="116" spans="2:96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</row>
    <row r="117" spans="2:96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</row>
    <row r="118" spans="2:96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</row>
    <row r="119" spans="2:96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</row>
    <row r="120" spans="2:96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</row>
    <row r="121" spans="2:96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</row>
    <row r="122" spans="2:96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</row>
    <row r="123" spans="2:96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</row>
    <row r="124" spans="2:96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</row>
    <row r="125" spans="2:96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</row>
    <row r="126" spans="2:96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</row>
    <row r="127" spans="2:96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</row>
    <row r="128" spans="2:96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</row>
    <row r="129" spans="2:96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</row>
    <row r="130" spans="2:96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</row>
    <row r="131" spans="2:96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</row>
    <row r="132" spans="2:96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</row>
    <row r="133" spans="2:96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</row>
    <row r="134" spans="2:96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</row>
    <row r="135" spans="2:96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</row>
    <row r="136" spans="2:96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</row>
    <row r="137" spans="2:96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</row>
    <row r="138" spans="2:96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</row>
    <row r="139" spans="2:96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</row>
    <row r="140" spans="2:96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</row>
    <row r="141" spans="2:96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</row>
    <row r="142" spans="2:96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</row>
    <row r="143" spans="2:96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</row>
    <row r="144" spans="2:96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</row>
    <row r="145" spans="2:96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</row>
    <row r="146" spans="2:96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</row>
    <row r="147" spans="2:96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</row>
    <row r="148" spans="2:96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</row>
    <row r="149" spans="2:96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</row>
    <row r="150" spans="2:96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</row>
    <row r="151" spans="2:96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</row>
    <row r="152" spans="2:96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</row>
    <row r="153" spans="2:96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</row>
    <row r="154" spans="2:96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</row>
    <row r="155" spans="2:96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</row>
    <row r="156" spans="2:96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</row>
    <row r="157" spans="2:96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</row>
    <row r="158" spans="2:96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</row>
    <row r="159" spans="2:96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</row>
    <row r="160" spans="2:96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</row>
    <row r="161" spans="2:96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</row>
    <row r="162" spans="2:96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</row>
    <row r="163" spans="2:96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</row>
    <row r="164" spans="2:96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</row>
    <row r="165" spans="2:96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</row>
    <row r="166" spans="2:96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</row>
    <row r="167" spans="2:96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</row>
    <row r="168" spans="2:96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</row>
    <row r="169" spans="2:96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</row>
    <row r="170" spans="2:96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</row>
    <row r="171" spans="2:96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</row>
    <row r="172" spans="2:96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</row>
    <row r="173" spans="2:96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</row>
    <row r="174" spans="2:96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</row>
    <row r="175" spans="2:96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</row>
    <row r="176" spans="2:96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</row>
    <row r="177" spans="2:96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</row>
    <row r="178" spans="2:96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</row>
    <row r="179" spans="2:96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</row>
    <row r="180" spans="2:96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</row>
    <row r="181" spans="2:96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</row>
    <row r="182" spans="2:96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</row>
    <row r="183" spans="2:96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</row>
    <row r="184" spans="2:96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</row>
    <row r="185" spans="2:96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</row>
    <row r="186" spans="2:96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</row>
    <row r="187" spans="2:96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</row>
  </sheetData>
  <pageMargins left="0.7" right="0.7" top="0.75" bottom="0.75" header="0.3" footer="0.3"/>
  <ignoredErrors>
    <ignoredError sqref="H14:O1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CDB9-1E10-A746-B0C8-B5664E205863}">
  <dimension ref="B2:P118"/>
  <sheetViews>
    <sheetView showGridLines="0" zoomScale="90" zoomScaleNormal="90" workbookViewId="0">
      <pane xSplit="3" ySplit="5" topLeftCell="D17" activePane="bottomRight" state="frozen"/>
      <selection pane="topRight" activeCell="D1" sqref="D1"/>
      <selection pane="bottomLeft" activeCell="A6" sqref="A6"/>
      <selection pane="bottomRight" activeCell="G32" sqref="G32"/>
    </sheetView>
  </sheetViews>
  <sheetFormatPr baseColWidth="10" defaultRowHeight="16" x14ac:dyDescent="0.2"/>
  <cols>
    <col min="1" max="1" width="5.83203125" customWidth="1"/>
    <col min="2" max="2" width="32.5" customWidth="1"/>
    <col min="3" max="3" width="3.83203125" customWidth="1"/>
    <col min="4" max="4" width="13.33203125" bestFit="1" customWidth="1"/>
    <col min="8" max="8" width="11.5" customWidth="1"/>
  </cols>
  <sheetData>
    <row r="2" spans="2:16" ht="24" x14ac:dyDescent="0.3">
      <c r="B2" s="98" t="str">
        <f>Cover!F5&amp;" Schedules"</f>
        <v>Apple Inc. Schedules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2"/>
    </row>
    <row r="3" spans="2:16" ht="19" x14ac:dyDescent="0.25">
      <c r="B3" s="99" t="s">
        <v>190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12"/>
    </row>
    <row r="4" spans="2:16" x14ac:dyDescent="0.2">
      <c r="B4" s="43"/>
      <c r="C4" s="43"/>
      <c r="D4" s="82">
        <v>2022</v>
      </c>
      <c r="E4" s="82">
        <f t="shared" ref="E4:O4" si="0">D4+1</f>
        <v>2023</v>
      </c>
      <c r="F4" s="82">
        <f t="shared" si="0"/>
        <v>2024</v>
      </c>
      <c r="G4" s="82">
        <f t="shared" si="0"/>
        <v>2025</v>
      </c>
      <c r="H4" s="83">
        <f t="shared" si="0"/>
        <v>2026</v>
      </c>
      <c r="I4" s="83">
        <f t="shared" si="0"/>
        <v>2027</v>
      </c>
      <c r="J4" s="83">
        <f t="shared" si="0"/>
        <v>2028</v>
      </c>
      <c r="K4" s="83">
        <f t="shared" si="0"/>
        <v>2029</v>
      </c>
      <c r="L4" s="83">
        <f t="shared" si="0"/>
        <v>2030</v>
      </c>
      <c r="M4" s="83">
        <f t="shared" si="0"/>
        <v>2031</v>
      </c>
      <c r="N4" s="83">
        <f t="shared" si="0"/>
        <v>2032</v>
      </c>
      <c r="O4" s="83">
        <f t="shared" si="0"/>
        <v>2033</v>
      </c>
      <c r="P4" s="12"/>
    </row>
    <row r="5" spans="2:16" x14ac:dyDescent="0.2">
      <c r="B5" s="14" t="s">
        <v>226</v>
      </c>
      <c r="C5" s="44"/>
      <c r="D5" s="100"/>
      <c r="E5" s="100"/>
      <c r="F5" s="100"/>
      <c r="G5" s="100"/>
      <c r="H5" s="101"/>
      <c r="I5" s="101"/>
      <c r="J5" s="101"/>
      <c r="K5" s="101"/>
      <c r="L5" s="101"/>
      <c r="M5" s="101"/>
      <c r="N5" s="101"/>
      <c r="O5" s="101"/>
      <c r="P5" s="12"/>
    </row>
    <row r="6" spans="2:16" x14ac:dyDescent="0.2">
      <c r="B6" s="12" t="s">
        <v>213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6" x14ac:dyDescent="0.2">
      <c r="B7" s="12" t="s">
        <v>214</v>
      </c>
      <c r="C7" s="12"/>
      <c r="D7" s="12">
        <f>'Balance Sheet'!D9</f>
        <v>28184</v>
      </c>
      <c r="E7" s="12">
        <f>'Balance Sheet'!E9</f>
        <v>29508</v>
      </c>
      <c r="F7" s="12">
        <f>'Balance Sheet'!F9</f>
        <v>33410</v>
      </c>
      <c r="G7" s="12">
        <f>'Balance Sheet'!G9</f>
        <v>39777</v>
      </c>
      <c r="H7" s="73">
        <f>'Balance Sheet'!H9</f>
        <v>42584.406027397265</v>
      </c>
      <c r="I7" s="73">
        <f>'Balance Sheet'!I9</f>
        <v>44956.476355479455</v>
      </c>
      <c r="J7" s="73">
        <f>'Balance Sheet'!J9</f>
        <v>47404.712596284255</v>
      </c>
      <c r="K7" s="73">
        <f>'Balance Sheet'!K9</f>
        <v>49775.756606679657</v>
      </c>
      <c r="L7" s="73">
        <f>'Balance Sheet'!L9</f>
        <v>52159.50435485546</v>
      </c>
      <c r="M7" s="73">
        <f>'Balance Sheet'!M9</f>
        <v>54413.235248906043</v>
      </c>
      <c r="N7" s="73">
        <f>'Balance Sheet'!N9</f>
        <v>56808.079504228343</v>
      </c>
      <c r="O7" s="73">
        <f>'Balance Sheet'!O9</f>
        <v>59158.101266582991</v>
      </c>
      <c r="P7" s="12"/>
    </row>
    <row r="8" spans="2:16" x14ac:dyDescent="0.2">
      <c r="B8" s="52" t="s">
        <v>126</v>
      </c>
      <c r="C8" s="12"/>
      <c r="D8" s="12">
        <f>Assumptions!D24</f>
        <v>27</v>
      </c>
      <c r="E8" s="12">
        <f>Assumptions!E24</f>
        <v>28</v>
      </c>
      <c r="F8" s="12">
        <f>Assumptions!F24</f>
        <v>31</v>
      </c>
      <c r="G8" s="12">
        <f>Assumptions!G24</f>
        <v>35</v>
      </c>
      <c r="H8" s="12">
        <f>Assumptions!H24</f>
        <v>35</v>
      </c>
      <c r="I8" s="12">
        <f>Assumptions!I24</f>
        <v>35</v>
      </c>
      <c r="J8" s="12">
        <f>Assumptions!J24</f>
        <v>35</v>
      </c>
      <c r="K8" s="12">
        <f>Assumptions!K24</f>
        <v>35</v>
      </c>
      <c r="L8" s="12">
        <f>Assumptions!L24</f>
        <v>35</v>
      </c>
      <c r="M8" s="12">
        <f>Assumptions!M24</f>
        <v>35</v>
      </c>
      <c r="N8" s="12">
        <f>Assumptions!N24</f>
        <v>35</v>
      </c>
      <c r="O8" s="12">
        <f>Assumptions!O24</f>
        <v>35</v>
      </c>
      <c r="P8" s="12"/>
    </row>
    <row r="9" spans="2:16" x14ac:dyDescent="0.2">
      <c r="B9" s="12" t="s">
        <v>215</v>
      </c>
      <c r="C9" s="12"/>
      <c r="D9" s="12">
        <f>'Balance Sheet'!D11</f>
        <v>4946</v>
      </c>
      <c r="E9" s="12">
        <f>'Balance Sheet'!E11</f>
        <v>6331</v>
      </c>
      <c r="F9" s="12">
        <f>'Balance Sheet'!F11</f>
        <v>7286</v>
      </c>
      <c r="G9" s="12">
        <f>'Balance Sheet'!G11</f>
        <v>5718</v>
      </c>
      <c r="H9" s="73">
        <f>'Balance Sheet'!H11</f>
        <v>5814.5964687123296</v>
      </c>
      <c r="I9" s="73">
        <f>'Balance Sheet'!I11</f>
        <v>6069.1243079897258</v>
      </c>
      <c r="J9" s="73">
        <f>'Balance Sheet'!J11</f>
        <v>6326.4975010641074</v>
      </c>
      <c r="K9" s="73">
        <f>'Balance Sheet'!K11</f>
        <v>6578.9328589285751</v>
      </c>
      <c r="L9" s="73">
        <f>'Balance Sheet'!L11</f>
        <v>6800.1090963201559</v>
      </c>
      <c r="M9" s="73">
        <f>'Balance Sheet'!M11</f>
        <v>7009.979363923353</v>
      </c>
      <c r="N9" s="73">
        <f>'Balance Sheet'!N11</f>
        <v>7230.8569768953503</v>
      </c>
      <c r="O9" s="73">
        <f>'Balance Sheet'!O11</f>
        <v>7438.7086764066216</v>
      </c>
      <c r="P9" s="12"/>
    </row>
    <row r="10" spans="2:16" x14ac:dyDescent="0.2">
      <c r="B10" s="12" t="s">
        <v>127</v>
      </c>
      <c r="C10" s="12"/>
      <c r="D10" s="12">
        <f>Assumptions!D25</f>
        <v>9</v>
      </c>
      <c r="E10" s="12">
        <f>Assumptions!E25</f>
        <v>8</v>
      </c>
      <c r="F10" s="12">
        <f>Assumptions!F25</f>
        <v>13</v>
      </c>
      <c r="G10" s="12">
        <f>Assumptions!G25</f>
        <v>9</v>
      </c>
      <c r="H10" s="12">
        <f>Assumptions!H25</f>
        <v>9</v>
      </c>
      <c r="I10" s="12">
        <f>Assumptions!I25</f>
        <v>9</v>
      </c>
      <c r="J10" s="12">
        <f>Assumptions!J25</f>
        <v>9</v>
      </c>
      <c r="K10" s="12">
        <f>Assumptions!K25</f>
        <v>9</v>
      </c>
      <c r="L10" s="12">
        <f>Assumptions!L25</f>
        <v>9</v>
      </c>
      <c r="M10" s="12">
        <f>Assumptions!M25</f>
        <v>9</v>
      </c>
      <c r="N10" s="12">
        <f>Assumptions!N25</f>
        <v>9</v>
      </c>
      <c r="O10" s="12">
        <f>Assumptions!O25</f>
        <v>9</v>
      </c>
      <c r="P10" s="12"/>
    </row>
    <row r="11" spans="2:16" x14ac:dyDescent="0.2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2:16" x14ac:dyDescent="0.2">
      <c r="B12" s="12" t="s">
        <v>216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2:16" x14ac:dyDescent="0.2">
      <c r="B13" s="12" t="s">
        <v>69</v>
      </c>
      <c r="C13" s="12"/>
      <c r="D13" s="73">
        <f>'Balance Sheet'!D24</f>
        <v>64115</v>
      </c>
      <c r="E13" s="73">
        <f>'Balance Sheet'!E24</f>
        <v>62611</v>
      </c>
      <c r="F13" s="73">
        <f>'Balance Sheet'!F24</f>
        <v>68960</v>
      </c>
      <c r="G13" s="73">
        <f>'Balance Sheet'!G24</f>
        <v>69860</v>
      </c>
      <c r="H13" s="73">
        <f>'Balance Sheet'!H24</f>
        <v>74297.621544657537</v>
      </c>
      <c r="I13" s="73">
        <f>'Balance Sheet'!I24</f>
        <v>77549.921713202057</v>
      </c>
      <c r="J13" s="73">
        <f>'Balance Sheet'!J24</f>
        <v>80838.579180263579</v>
      </c>
      <c r="K13" s="73">
        <f>'Balance Sheet'!K24</f>
        <v>84064.142086309555</v>
      </c>
      <c r="L13" s="73">
        <f>'Balance Sheet'!L24</f>
        <v>86890.282897424215</v>
      </c>
      <c r="M13" s="73">
        <f>'Balance Sheet'!M24</f>
        <v>89571.958539020619</v>
      </c>
      <c r="N13" s="73">
        <f>'Balance Sheet'!N24</f>
        <v>92394.283593662811</v>
      </c>
      <c r="O13" s="73">
        <f>'Balance Sheet'!O24</f>
        <v>95050.16642075128</v>
      </c>
      <c r="P13" s="12"/>
    </row>
    <row r="14" spans="2:16" x14ac:dyDescent="0.2">
      <c r="B14" s="12" t="s">
        <v>128</v>
      </c>
      <c r="C14" s="12"/>
      <c r="D14" s="12">
        <f>Assumptions!D26</f>
        <v>107</v>
      </c>
      <c r="E14" s="12">
        <f>Assumptions!E26</f>
        <v>109</v>
      </c>
      <c r="F14" s="12">
        <f>Assumptions!F26</f>
        <v>120</v>
      </c>
      <c r="G14" s="12">
        <f>Assumptions!G26</f>
        <v>115</v>
      </c>
      <c r="H14" s="12">
        <f>Assumptions!H26</f>
        <v>115</v>
      </c>
      <c r="I14" s="12">
        <f>Assumptions!I26</f>
        <v>115</v>
      </c>
      <c r="J14" s="12">
        <f>Assumptions!J26</f>
        <v>115</v>
      </c>
      <c r="K14" s="12">
        <f>Assumptions!K26</f>
        <v>115</v>
      </c>
      <c r="L14" s="12">
        <f>Assumptions!L26</f>
        <v>115</v>
      </c>
      <c r="M14" s="12">
        <f>Assumptions!M26</f>
        <v>115</v>
      </c>
      <c r="N14" s="12">
        <f>Assumptions!N26</f>
        <v>115</v>
      </c>
      <c r="O14" s="12">
        <f>Assumptions!O26</f>
        <v>115</v>
      </c>
      <c r="P14" s="12"/>
    </row>
    <row r="15" spans="2:16" x14ac:dyDescent="0.2">
      <c r="B15" s="65" t="s">
        <v>217</v>
      </c>
      <c r="C15" s="65"/>
      <c r="D15" s="66">
        <f>D7+D9+D13</f>
        <v>97245</v>
      </c>
      <c r="E15" s="66">
        <f t="shared" ref="E15" si="1">E7+E9+E13</f>
        <v>98450</v>
      </c>
      <c r="F15" s="102">
        <f>F7+F9-F13</f>
        <v>-28264</v>
      </c>
      <c r="G15" s="102">
        <f t="shared" ref="G15:O15" si="2">G7+G9-G13</f>
        <v>-24365</v>
      </c>
      <c r="H15" s="102">
        <f t="shared" si="2"/>
        <v>-25898.619048547946</v>
      </c>
      <c r="I15" s="102">
        <f t="shared" si="2"/>
        <v>-26524.321049732876</v>
      </c>
      <c r="J15" s="102">
        <f t="shared" si="2"/>
        <v>-27107.369082915218</v>
      </c>
      <c r="K15" s="102">
        <f t="shared" si="2"/>
        <v>-27709.452620701326</v>
      </c>
      <c r="L15" s="102">
        <f t="shared" si="2"/>
        <v>-27930.669446248598</v>
      </c>
      <c r="M15" s="102">
        <f t="shared" si="2"/>
        <v>-28148.743926191222</v>
      </c>
      <c r="N15" s="102">
        <f t="shared" si="2"/>
        <v>-28355.347112539115</v>
      </c>
      <c r="O15" s="102">
        <f t="shared" si="2"/>
        <v>-28453.35647776167</v>
      </c>
      <c r="P15" s="12"/>
    </row>
    <row r="16" spans="2:16" x14ac:dyDescent="0.2">
      <c r="B16" s="12" t="s">
        <v>227</v>
      </c>
      <c r="C16" s="12"/>
      <c r="D16" s="12"/>
      <c r="E16" s="95">
        <f t="shared" ref="E16:N16" si="3">F15-E15</f>
        <v>-126714</v>
      </c>
      <c r="F16" s="95">
        <f t="shared" si="3"/>
        <v>3899</v>
      </c>
      <c r="G16" s="95">
        <f t="shared" si="3"/>
        <v>-1533.6190485479456</v>
      </c>
      <c r="H16" s="95">
        <f t="shared" si="3"/>
        <v>-625.70200118493085</v>
      </c>
      <c r="I16" s="95">
        <f t="shared" si="3"/>
        <v>-583.0480331823419</v>
      </c>
      <c r="J16" s="95">
        <f t="shared" si="3"/>
        <v>-602.08353778610763</v>
      </c>
      <c r="K16" s="95">
        <f t="shared" si="3"/>
        <v>-221.21682554727158</v>
      </c>
      <c r="L16" s="95">
        <f t="shared" si="3"/>
        <v>-218.07447994262475</v>
      </c>
      <c r="M16" s="95">
        <f t="shared" si="3"/>
        <v>-206.60318634789292</v>
      </c>
      <c r="N16" s="95">
        <f t="shared" si="3"/>
        <v>-98.009365222555061</v>
      </c>
      <c r="O16" s="95">
        <f>O15-N15</f>
        <v>-98.009365222555061</v>
      </c>
      <c r="P16" s="12"/>
    </row>
    <row r="17" spans="2:16" x14ac:dyDescent="0.2">
      <c r="B17" s="12"/>
      <c r="C17" s="12"/>
      <c r="D17" s="12"/>
      <c r="E17" s="12"/>
      <c r="F17" s="12"/>
      <c r="G17" s="73"/>
      <c r="H17" s="73"/>
      <c r="I17" s="73"/>
      <c r="J17" s="73"/>
      <c r="K17" s="73"/>
      <c r="L17" s="73"/>
      <c r="M17" s="73"/>
      <c r="N17" s="73"/>
      <c r="O17" s="73"/>
      <c r="P17" s="12"/>
    </row>
    <row r="18" spans="2:16" x14ac:dyDescent="0.2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2:16" x14ac:dyDescent="0.2">
      <c r="B19" s="103" t="s">
        <v>169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2"/>
    </row>
    <row r="20" spans="2:16" x14ac:dyDescent="0.2">
      <c r="B20" s="43" t="s">
        <v>194</v>
      </c>
      <c r="C20" s="43"/>
      <c r="D20" s="82">
        <v>2022</v>
      </c>
      <c r="E20" s="82">
        <f t="shared" ref="E20" si="4">D20+1</f>
        <v>2023</v>
      </c>
      <c r="F20" s="82">
        <f t="shared" ref="F20" si="5">E20+1</f>
        <v>2024</v>
      </c>
      <c r="G20" s="82">
        <f t="shared" ref="G20" si="6">F20+1</f>
        <v>2025</v>
      </c>
      <c r="H20" s="83">
        <f t="shared" ref="H20" si="7">G20+1</f>
        <v>2026</v>
      </c>
      <c r="I20" s="83">
        <f t="shared" ref="I20" si="8">H20+1</f>
        <v>2027</v>
      </c>
      <c r="J20" s="83">
        <f t="shared" ref="J20" si="9">I20+1</f>
        <v>2028</v>
      </c>
      <c r="K20" s="83">
        <f t="shared" ref="K20" si="10">J20+1</f>
        <v>2029</v>
      </c>
      <c r="L20" s="83">
        <f t="shared" ref="L20" si="11">K20+1</f>
        <v>2030</v>
      </c>
      <c r="M20" s="83">
        <f t="shared" ref="M20" si="12">L20+1</f>
        <v>2031</v>
      </c>
      <c r="N20" s="83">
        <f t="shared" ref="N20" si="13">M20+1</f>
        <v>2032</v>
      </c>
      <c r="O20" s="83">
        <f t="shared" ref="O20" si="14">N20+1</f>
        <v>2033</v>
      </c>
      <c r="P20" s="12"/>
    </row>
    <row r="21" spans="2:16" x14ac:dyDescent="0.2">
      <c r="B21" s="105" t="s">
        <v>218</v>
      </c>
      <c r="C21" s="44"/>
      <c r="D21" s="100"/>
      <c r="E21" s="100"/>
      <c r="F21" s="100"/>
      <c r="G21" s="100"/>
      <c r="H21" s="106"/>
      <c r="I21" s="106"/>
      <c r="J21" s="106"/>
      <c r="K21" s="106"/>
      <c r="L21" s="106"/>
      <c r="M21" s="106"/>
      <c r="N21" s="106"/>
      <c r="O21" s="106"/>
      <c r="P21" s="12"/>
    </row>
    <row r="22" spans="2:16" x14ac:dyDescent="0.2">
      <c r="B22" s="107" t="s">
        <v>238</v>
      </c>
      <c r="C22" s="44"/>
      <c r="D22" s="108">
        <v>22126</v>
      </c>
      <c r="E22" s="108">
        <v>23446</v>
      </c>
      <c r="F22" s="108">
        <v>24690</v>
      </c>
      <c r="G22" s="108">
        <v>27337</v>
      </c>
      <c r="H22" s="109"/>
      <c r="I22" s="109"/>
      <c r="J22" s="109"/>
      <c r="K22" s="109"/>
      <c r="L22" s="109"/>
      <c r="M22" s="109"/>
      <c r="N22" s="109"/>
      <c r="O22" s="109"/>
      <c r="P22" s="12"/>
    </row>
    <row r="23" spans="2:16" x14ac:dyDescent="0.2">
      <c r="B23" s="107" t="s">
        <v>239</v>
      </c>
      <c r="C23" s="44"/>
      <c r="D23" s="108">
        <v>81060</v>
      </c>
      <c r="E23" s="108">
        <v>78314</v>
      </c>
      <c r="F23" s="108">
        <v>80205</v>
      </c>
      <c r="G23" s="108">
        <v>83420</v>
      </c>
      <c r="H23" s="109"/>
      <c r="I23" s="109"/>
      <c r="J23" s="109"/>
      <c r="K23" s="109"/>
      <c r="L23" s="109"/>
      <c r="M23" s="109"/>
      <c r="N23" s="109"/>
      <c r="O23" s="109"/>
      <c r="P23" s="12"/>
    </row>
    <row r="24" spans="2:16" x14ac:dyDescent="0.2">
      <c r="B24" s="107" t="s">
        <v>240</v>
      </c>
      <c r="C24" s="44"/>
      <c r="D24" s="108">
        <v>11271</v>
      </c>
      <c r="E24" s="108">
        <v>12839</v>
      </c>
      <c r="F24" s="108">
        <v>14233</v>
      </c>
      <c r="G24" s="108">
        <v>15091</v>
      </c>
      <c r="H24" s="109"/>
      <c r="I24" s="109"/>
      <c r="J24" s="109"/>
      <c r="K24" s="109"/>
      <c r="L24" s="109"/>
      <c r="M24" s="109"/>
      <c r="N24" s="109"/>
      <c r="O24" s="109"/>
      <c r="P24" s="12"/>
    </row>
    <row r="25" spans="2:16" x14ac:dyDescent="0.2">
      <c r="B25" s="110" t="s">
        <v>241</v>
      </c>
      <c r="C25" s="111"/>
      <c r="D25" s="112">
        <f>SUM(D22:D24)</f>
        <v>114457</v>
      </c>
      <c r="E25" s="112">
        <f>SUM(E22:E24)</f>
        <v>114599</v>
      </c>
      <c r="F25" s="112">
        <f>SUM(F22:F24)</f>
        <v>119128</v>
      </c>
      <c r="G25" s="112">
        <f>SUM(G22:G24)</f>
        <v>125848</v>
      </c>
      <c r="H25" s="112"/>
      <c r="I25" s="112"/>
      <c r="J25" s="112"/>
      <c r="K25" s="112"/>
      <c r="L25" s="112"/>
      <c r="M25" s="112"/>
      <c r="N25" s="112"/>
      <c r="O25" s="112"/>
      <c r="P25" s="12"/>
    </row>
    <row r="26" spans="2:16" x14ac:dyDescent="0.2">
      <c r="B26" s="107" t="s">
        <v>242</v>
      </c>
      <c r="C26" s="44"/>
      <c r="D26" s="94">
        <v>-72340</v>
      </c>
      <c r="E26" s="94">
        <v>-70884</v>
      </c>
      <c r="F26" s="94">
        <v>-73448</v>
      </c>
      <c r="G26" s="94">
        <v>-76014</v>
      </c>
      <c r="H26" s="109"/>
      <c r="I26" s="109"/>
      <c r="J26" s="109"/>
      <c r="K26" s="109"/>
      <c r="L26" s="109"/>
      <c r="M26" s="109"/>
      <c r="N26" s="109"/>
      <c r="O26" s="109"/>
      <c r="P26" s="12"/>
    </row>
    <row r="27" spans="2:16" ht="17" thickBot="1" x14ac:dyDescent="0.25">
      <c r="B27" s="113" t="s">
        <v>243</v>
      </c>
      <c r="C27" s="114"/>
      <c r="D27" s="115">
        <f>D25+D26</f>
        <v>42117</v>
      </c>
      <c r="E27" s="115">
        <f>E25+E26</f>
        <v>43715</v>
      </c>
      <c r="F27" s="115">
        <f>F25+F26</f>
        <v>45680</v>
      </c>
      <c r="G27" s="115">
        <f>G25+G26</f>
        <v>49834</v>
      </c>
      <c r="H27" s="115"/>
      <c r="I27" s="115"/>
      <c r="J27" s="115"/>
      <c r="K27" s="115"/>
      <c r="L27" s="115"/>
      <c r="M27" s="115"/>
      <c r="N27" s="115"/>
      <c r="O27" s="115"/>
      <c r="P27" s="12"/>
    </row>
    <row r="28" spans="2:16" ht="17" thickTop="1" x14ac:dyDescent="0.2">
      <c r="B28" s="107"/>
      <c r="C28" s="44"/>
      <c r="D28" s="100"/>
      <c r="E28" s="100"/>
      <c r="F28" s="100"/>
      <c r="G28" s="100"/>
      <c r="H28" s="101"/>
      <c r="I28" s="101"/>
      <c r="J28" s="101"/>
      <c r="K28" s="101"/>
      <c r="L28" s="101"/>
      <c r="M28" s="101"/>
      <c r="N28" s="101"/>
      <c r="O28" s="101"/>
      <c r="P28" s="12"/>
    </row>
    <row r="29" spans="2:16" x14ac:dyDescent="0.2">
      <c r="B29" s="12" t="s">
        <v>170</v>
      </c>
      <c r="C29" s="12"/>
      <c r="D29" s="27">
        <v>39440</v>
      </c>
      <c r="E29" s="116">
        <v>42117</v>
      </c>
      <c r="F29" s="116">
        <v>43715</v>
      </c>
      <c r="G29" s="116">
        <v>45680</v>
      </c>
      <c r="H29" s="117">
        <v>49834</v>
      </c>
      <c r="I29" s="117">
        <f>H32</f>
        <v>54877.271120000005</v>
      </c>
      <c r="J29" s="117">
        <f t="shared" ref="J29:O29" si="15">I32</f>
        <v>60521.649169350007</v>
      </c>
      <c r="K29" s="117">
        <f t="shared" si="15"/>
        <v>66788.608258649765</v>
      </c>
      <c r="L29" s="117">
        <f t="shared" si="15"/>
        <v>73649.984166077978</v>
      </c>
      <c r="M29" s="117">
        <f t="shared" si="15"/>
        <v>81106.61377964796</v>
      </c>
      <c r="N29" s="117">
        <f t="shared" si="15"/>
        <v>89113.132327945888</v>
      </c>
      <c r="O29" s="117">
        <f t="shared" si="15"/>
        <v>97711.764253489629</v>
      </c>
      <c r="P29" s="12"/>
    </row>
    <row r="30" spans="2:16" x14ac:dyDescent="0.2">
      <c r="B30" s="12" t="s">
        <v>171</v>
      </c>
      <c r="C30" s="118"/>
      <c r="D30" s="94">
        <v>10708</v>
      </c>
      <c r="E30" s="94">
        <v>10959</v>
      </c>
      <c r="F30" s="94">
        <v>9447</v>
      </c>
      <c r="G30" s="94">
        <v>12715</v>
      </c>
      <c r="H30" s="63">
        <f>'Income Statement'!H8*Assumptions!H21</f>
        <v>13766.930120000001</v>
      </c>
      <c r="I30" s="63">
        <f>'Income Statement'!I8*Assumptions!I21</f>
        <v>14533.786570350001</v>
      </c>
      <c r="J30" s="63">
        <f>'Income Statement'!J8*Assumptions!J21</f>
        <v>15325.26637219875</v>
      </c>
      <c r="K30" s="63">
        <f>'Income Statement'!K8*Assumptions!K21</f>
        <v>16091.791028702295</v>
      </c>
      <c r="L30" s="63">
        <f>'Income Statement'!L8*Assumptions!L21</f>
        <v>16862.422622148271</v>
      </c>
      <c r="M30" s="63">
        <f>'Income Statement'!M8*Assumptions!M21</f>
        <v>17591.021624039196</v>
      </c>
      <c r="N30" s="63">
        <f>'Income Statement'!N8*Assumptions!N21</f>
        <v>18365.240559724105</v>
      </c>
      <c r="O30" s="63">
        <f>'Income Statement'!O8*Assumptions!O21</f>
        <v>19124.9690237539</v>
      </c>
      <c r="P30" s="12"/>
    </row>
    <row r="31" spans="2:16" x14ac:dyDescent="0.2">
      <c r="B31" s="12" t="s">
        <v>172</v>
      </c>
      <c r="C31" s="119"/>
      <c r="D31" s="116">
        <v>8031</v>
      </c>
      <c r="E31" s="116">
        <v>9361</v>
      </c>
      <c r="F31" s="116">
        <v>7482</v>
      </c>
      <c r="G31" s="116">
        <v>8561</v>
      </c>
      <c r="H31" s="117">
        <f>G31*(1+Assumptions!H23)</f>
        <v>8723.6589999999997</v>
      </c>
      <c r="I31" s="117">
        <f>Schedules!H31*(1+Assumptions!I23)</f>
        <v>8889.4085209999994</v>
      </c>
      <c r="J31" s="117">
        <f>Schedules!I31*(1+Assumptions!J23)</f>
        <v>9058.3072828989989</v>
      </c>
      <c r="K31" s="117">
        <f>Schedules!J31*(1+Assumptions!K23)</f>
        <v>9230.4151212740799</v>
      </c>
      <c r="L31" s="117">
        <f>Schedules!K31*(1+Assumptions!L23)</f>
        <v>9405.7930085782864</v>
      </c>
      <c r="M31" s="117">
        <f>Schedules!L31*(1+Assumptions!M23)</f>
        <v>9584.5030757412733</v>
      </c>
      <c r="N31" s="117">
        <f>Schedules!M31*(1+Assumptions!N23)</f>
        <v>9766.6086341803566</v>
      </c>
      <c r="O31" s="117">
        <f>Schedules!N31*(1+Assumptions!O23)</f>
        <v>9952.1741982297826</v>
      </c>
      <c r="P31" s="12"/>
    </row>
    <row r="32" spans="2:16" x14ac:dyDescent="0.2">
      <c r="B32" s="120" t="s">
        <v>173</v>
      </c>
      <c r="C32" s="121"/>
      <c r="D32" s="121">
        <f>D29+D30-D31</f>
        <v>42117</v>
      </c>
      <c r="E32" s="121">
        <f t="shared" ref="E32:H32" si="16">E29+E30-E31</f>
        <v>43715</v>
      </c>
      <c r="F32" s="121">
        <f t="shared" si="16"/>
        <v>45680</v>
      </c>
      <c r="G32" s="121">
        <f t="shared" si="16"/>
        <v>49834</v>
      </c>
      <c r="H32" s="121">
        <f t="shared" si="16"/>
        <v>54877.271120000005</v>
      </c>
      <c r="I32" s="121">
        <f t="shared" ref="I32" si="17">I29+I30-I31</f>
        <v>60521.649169350007</v>
      </c>
      <c r="J32" s="121">
        <f t="shared" ref="J32" si="18">J29+J30-J31</f>
        <v>66788.608258649765</v>
      </c>
      <c r="K32" s="121">
        <f t="shared" ref="K32" si="19">K29+K30-K31</f>
        <v>73649.984166077978</v>
      </c>
      <c r="L32" s="121">
        <f t="shared" ref="L32" si="20">L29+L30-L31</f>
        <v>81106.61377964796</v>
      </c>
      <c r="M32" s="121">
        <f t="shared" ref="M32" si="21">M29+M30-M31</f>
        <v>89113.132327945888</v>
      </c>
      <c r="N32" s="121">
        <f t="shared" ref="N32" si="22">N29+N30-N31</f>
        <v>97711.764253489629</v>
      </c>
      <c r="O32" s="121">
        <f t="shared" ref="O32" si="23">O29+O30-O31</f>
        <v>106884.55907901375</v>
      </c>
      <c r="P32" s="12"/>
    </row>
    <row r="33" spans="2:16" x14ac:dyDescent="0.2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2:16" x14ac:dyDescent="0.2">
      <c r="B34" s="122" t="s">
        <v>174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"/>
    </row>
    <row r="35" spans="2:16" x14ac:dyDescent="0.2">
      <c r="B35" s="14" t="s">
        <v>175</v>
      </c>
      <c r="C35" s="123"/>
      <c r="D35" s="123">
        <f>D31/D30</f>
        <v>0.75</v>
      </c>
      <c r="E35" s="123">
        <f t="shared" ref="E35:O35" si="24">E31/E30</f>
        <v>0.85418377589196093</v>
      </c>
      <c r="F35" s="123">
        <f t="shared" si="24"/>
        <v>0.7919974595109559</v>
      </c>
      <c r="G35" s="123">
        <f t="shared" si="24"/>
        <v>0.67329925285096348</v>
      </c>
      <c r="H35" s="123">
        <f t="shared" si="24"/>
        <v>0.63366770398047167</v>
      </c>
      <c r="I35" s="123">
        <f t="shared" si="24"/>
        <v>0.61163747506345312</v>
      </c>
      <c r="J35" s="123">
        <f t="shared" si="24"/>
        <v>0.59107013626409044</v>
      </c>
      <c r="K35" s="123">
        <f t="shared" si="24"/>
        <v>0.57361017830831584</v>
      </c>
      <c r="L35" s="123">
        <f t="shared" si="24"/>
        <v>0.55779606639819757</v>
      </c>
      <c r="M35" s="123">
        <f t="shared" si="24"/>
        <v>0.54485198646129052</v>
      </c>
      <c r="N35" s="123">
        <f t="shared" si="24"/>
        <v>0.53179856819294924</v>
      </c>
      <c r="O35" s="123">
        <f t="shared" si="24"/>
        <v>0.52037596431496569</v>
      </c>
      <c r="P35" s="12"/>
    </row>
    <row r="36" spans="2:16" x14ac:dyDescent="0.2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2:16" x14ac:dyDescent="0.2">
      <c r="B37" s="12" t="s">
        <v>176</v>
      </c>
      <c r="C37" s="12"/>
      <c r="D37" s="63">
        <f>'Income Statement'!D24</f>
        <v>11104</v>
      </c>
      <c r="E37" s="63">
        <f>'Income Statement'!E24</f>
        <v>11519</v>
      </c>
      <c r="F37" s="63">
        <f>'Income Statement'!F24</f>
        <v>11445</v>
      </c>
      <c r="G37" s="63">
        <f>'Income Statement'!G24</f>
        <v>11698</v>
      </c>
      <c r="H37" s="63">
        <f>'Income Statement'!H24</f>
        <v>12434.646560000001</v>
      </c>
      <c r="I37" s="63">
        <f>'Income Statement'!I24</f>
        <v>13127.291095800001</v>
      </c>
      <c r="J37" s="63">
        <f>'Income Statement'!J24</f>
        <v>13842.176078115001</v>
      </c>
      <c r="K37" s="63">
        <f>'Income Statement'!K24</f>
        <v>14534.52092915046</v>
      </c>
      <c r="L37" s="63">
        <f>'Income Statement'!L24</f>
        <v>15230.575271617794</v>
      </c>
      <c r="M37" s="63">
        <f>'Income Statement'!M24</f>
        <v>15888.664692680564</v>
      </c>
      <c r="N37" s="63">
        <f>'Income Statement'!N24</f>
        <v>16587.959215234678</v>
      </c>
      <c r="O37" s="63">
        <f>'Income Statement'!O24</f>
        <v>17274.165569842233</v>
      </c>
      <c r="P37" s="12"/>
    </row>
    <row r="38" spans="2:16" x14ac:dyDescent="0.2">
      <c r="B38" s="12" t="s">
        <v>177</v>
      </c>
      <c r="C38" s="117"/>
      <c r="D38" s="117">
        <f>D37-D31</f>
        <v>3073</v>
      </c>
      <c r="E38" s="117">
        <f t="shared" ref="E38:O38" si="25">E37-E31</f>
        <v>2158</v>
      </c>
      <c r="F38" s="117">
        <f t="shared" si="25"/>
        <v>3963</v>
      </c>
      <c r="G38" s="117">
        <f t="shared" si="25"/>
        <v>3137</v>
      </c>
      <c r="H38" s="117">
        <f t="shared" si="25"/>
        <v>3710.9875600000014</v>
      </c>
      <c r="I38" s="117">
        <f t="shared" si="25"/>
        <v>4237.8825748000017</v>
      </c>
      <c r="J38" s="117">
        <f t="shared" si="25"/>
        <v>4783.8687952160017</v>
      </c>
      <c r="K38" s="117">
        <f t="shared" si="25"/>
        <v>5304.1058078763799</v>
      </c>
      <c r="L38" s="117">
        <f t="shared" si="25"/>
        <v>5824.7822630395076</v>
      </c>
      <c r="M38" s="117">
        <f t="shared" si="25"/>
        <v>6304.161616939291</v>
      </c>
      <c r="N38" s="117">
        <f t="shared" si="25"/>
        <v>6821.3505810543211</v>
      </c>
      <c r="O38" s="117">
        <f t="shared" si="25"/>
        <v>7321.9913716124502</v>
      </c>
      <c r="P38" s="12"/>
    </row>
    <row r="39" spans="2:16" x14ac:dyDescent="0.2">
      <c r="B39" s="12" t="s">
        <v>178</v>
      </c>
      <c r="C39" s="39"/>
      <c r="D39" s="39">
        <f>D38/'Income Statement'!D8</f>
        <v>7.7930048081799926E-3</v>
      </c>
      <c r="E39" s="39">
        <f>E38/'Income Statement'!E8</f>
        <v>5.630275121645773E-3</v>
      </c>
      <c r="F39" s="39">
        <f>F38/'Income Statement'!F8</f>
        <v>1.0134642679044075E-2</v>
      </c>
      <c r="G39" s="39">
        <f>G38/'Income Statement'!G8</f>
        <v>7.5379480537580406E-3</v>
      </c>
      <c r="H39" s="39">
        <f>H38/'Income Statement'!H8</f>
        <v>8.3563011766053796E-3</v>
      </c>
      <c r="I39" s="39">
        <f>I38/'Income Statement'!I8</f>
        <v>9.0392382730329519E-3</v>
      </c>
      <c r="J39" s="39">
        <f>J38/'Income Statement'!J8</f>
        <v>9.6768257758131967E-3</v>
      </c>
      <c r="K39" s="39">
        <f>K38/'Income Statement'!K8</f>
        <v>1.0218084472442211E-2</v>
      </c>
      <c r="L39" s="39">
        <f>L38/'Income Statement'!L8</f>
        <v>1.0708321941655876E-2</v>
      </c>
      <c r="M39" s="39">
        <f>M38/'Income Statement'!M8</f>
        <v>1.1109588419699994E-2</v>
      </c>
      <c r="N39" s="39">
        <f>N38/'Income Statement'!N8</f>
        <v>1.1514244386018576E-2</v>
      </c>
      <c r="O39" s="39">
        <f>O38/'Income Statement'!O8</f>
        <v>1.1868345106236066E-2</v>
      </c>
      <c r="P39" s="12"/>
    </row>
    <row r="40" spans="2:16" x14ac:dyDescent="0.2">
      <c r="B40" s="124" t="s">
        <v>179</v>
      </c>
      <c r="C40" s="125"/>
      <c r="D40" s="125">
        <f>D37</f>
        <v>11104</v>
      </c>
      <c r="E40" s="125">
        <f t="shared" ref="E40:O40" si="26">E37</f>
        <v>11519</v>
      </c>
      <c r="F40" s="125">
        <f t="shared" si="26"/>
        <v>11445</v>
      </c>
      <c r="G40" s="125">
        <f t="shared" si="26"/>
        <v>11698</v>
      </c>
      <c r="H40" s="125">
        <f t="shared" si="26"/>
        <v>12434.646560000001</v>
      </c>
      <c r="I40" s="125">
        <f t="shared" si="26"/>
        <v>13127.291095800001</v>
      </c>
      <c r="J40" s="125">
        <f t="shared" si="26"/>
        <v>13842.176078115001</v>
      </c>
      <c r="K40" s="125">
        <f t="shared" si="26"/>
        <v>14534.52092915046</v>
      </c>
      <c r="L40" s="125">
        <f t="shared" si="26"/>
        <v>15230.575271617794</v>
      </c>
      <c r="M40" s="125">
        <f t="shared" si="26"/>
        <v>15888.664692680564</v>
      </c>
      <c r="N40" s="125">
        <f t="shared" si="26"/>
        <v>16587.959215234678</v>
      </c>
      <c r="O40" s="125">
        <f t="shared" si="26"/>
        <v>17274.165569842233</v>
      </c>
      <c r="P40" s="12"/>
    </row>
    <row r="41" spans="2:16" x14ac:dyDescent="0.2">
      <c r="B41" s="126"/>
      <c r="C41" s="127"/>
      <c r="D41" s="127"/>
      <c r="E41" s="127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"/>
    </row>
    <row r="42" spans="2:16" ht="10" customHeight="1" x14ac:dyDescent="0.2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2:16" ht="19" x14ac:dyDescent="0.25">
      <c r="B43" s="99" t="s">
        <v>191</v>
      </c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12"/>
    </row>
    <row r="44" spans="2:16" x14ac:dyDescent="0.2">
      <c r="B44" s="43"/>
      <c r="C44" s="43"/>
      <c r="D44" s="82">
        <v>2022</v>
      </c>
      <c r="E44" s="82">
        <f t="shared" ref="E44" si="27">D44+1</f>
        <v>2023</v>
      </c>
      <c r="F44" s="82">
        <f t="shared" ref="F44" si="28">E44+1</f>
        <v>2024</v>
      </c>
      <c r="G44" s="82">
        <f t="shared" ref="G44" si="29">F44+1</f>
        <v>2025</v>
      </c>
      <c r="H44" s="83">
        <f t="shared" ref="H44" si="30">G44+1</f>
        <v>2026</v>
      </c>
      <c r="I44" s="83">
        <f t="shared" ref="I44" si="31">H44+1</f>
        <v>2027</v>
      </c>
      <c r="J44" s="83">
        <f t="shared" ref="J44" si="32">I44+1</f>
        <v>2028</v>
      </c>
      <c r="K44" s="83">
        <f t="shared" ref="K44" si="33">J44+1</f>
        <v>2029</v>
      </c>
      <c r="L44" s="83">
        <f t="shared" ref="L44" si="34">K44+1</f>
        <v>2030</v>
      </c>
      <c r="M44" s="83">
        <f t="shared" ref="M44" si="35">L44+1</f>
        <v>2031</v>
      </c>
      <c r="N44" s="83">
        <f t="shared" ref="N44" si="36">M44+1</f>
        <v>2032</v>
      </c>
      <c r="O44" s="83">
        <f t="shared" ref="O44" si="37">N44+1</f>
        <v>2033</v>
      </c>
      <c r="P44" s="12"/>
    </row>
    <row r="45" spans="2:16" x14ac:dyDescent="0.2">
      <c r="B45" s="14" t="s">
        <v>229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2:16" x14ac:dyDescent="0.2">
      <c r="B46" s="12" t="s">
        <v>219</v>
      </c>
      <c r="C46" s="12"/>
      <c r="D46" s="27">
        <v>111824</v>
      </c>
      <c r="E46" s="27">
        <v>110087</v>
      </c>
      <c r="F46" s="27">
        <v>105103</v>
      </c>
      <c r="G46" s="27">
        <v>96662</v>
      </c>
      <c r="H46" s="12">
        <f>G50</f>
        <v>90678</v>
      </c>
      <c r="I46" s="12">
        <f t="shared" ref="I46:O46" si="38">H50</f>
        <v>78285</v>
      </c>
      <c r="J46" s="12">
        <f t="shared" si="38"/>
        <v>68207</v>
      </c>
      <c r="K46" s="12">
        <f t="shared" si="38"/>
        <v>58907</v>
      </c>
      <c r="L46" s="12">
        <f t="shared" si="38"/>
        <v>53672</v>
      </c>
      <c r="M46" s="12">
        <f t="shared" si="38"/>
        <v>48700</v>
      </c>
      <c r="N46" s="12">
        <f t="shared" si="38"/>
        <v>40446</v>
      </c>
      <c r="O46" s="12">
        <f t="shared" si="38"/>
        <v>32192</v>
      </c>
      <c r="P46" s="12"/>
    </row>
    <row r="47" spans="2:16" x14ac:dyDescent="0.2">
      <c r="B47" s="12" t="s">
        <v>220</v>
      </c>
      <c r="C47" s="12"/>
      <c r="D47" s="27"/>
      <c r="E47" s="27">
        <v>5228</v>
      </c>
      <c r="F47" s="27"/>
      <c r="G47" s="27">
        <v>4481</v>
      </c>
      <c r="H47" s="12"/>
      <c r="I47" s="12"/>
      <c r="J47" s="12"/>
      <c r="K47" s="12"/>
      <c r="L47" s="12"/>
      <c r="M47" s="12"/>
      <c r="N47" s="12"/>
      <c r="O47" s="12"/>
      <c r="P47" s="12"/>
    </row>
    <row r="48" spans="2:16" x14ac:dyDescent="0.2">
      <c r="B48" s="12" t="s">
        <v>222</v>
      </c>
      <c r="C48" s="12"/>
      <c r="D48" s="94">
        <v>9543</v>
      </c>
      <c r="E48" s="94">
        <v>11151</v>
      </c>
      <c r="F48" s="94">
        <v>9958</v>
      </c>
      <c r="G48" s="94">
        <v>10932</v>
      </c>
      <c r="H48" s="94">
        <v>12393</v>
      </c>
      <c r="I48" s="94">
        <v>10078</v>
      </c>
      <c r="J48" s="94">
        <v>9300</v>
      </c>
      <c r="K48" s="94">
        <v>5235</v>
      </c>
      <c r="L48" s="94">
        <v>4972</v>
      </c>
      <c r="M48" s="94">
        <v>8254</v>
      </c>
      <c r="N48" s="94">
        <v>8254</v>
      </c>
      <c r="O48" s="94">
        <v>8254</v>
      </c>
      <c r="P48" s="12"/>
    </row>
    <row r="49" spans="2:16" x14ac:dyDescent="0.2">
      <c r="B49" s="12" t="s">
        <v>411</v>
      </c>
      <c r="D49" s="5">
        <v>-4554</v>
      </c>
      <c r="E49" s="5">
        <v>939</v>
      </c>
      <c r="F49" s="5">
        <v>1517</v>
      </c>
      <c r="G49" s="5">
        <v>467</v>
      </c>
      <c r="P49" s="12"/>
    </row>
    <row r="50" spans="2:16" x14ac:dyDescent="0.2">
      <c r="B50" s="129" t="s">
        <v>221</v>
      </c>
      <c r="C50" s="129"/>
      <c r="D50" s="129">
        <v>110087</v>
      </c>
      <c r="E50" s="130">
        <v>105103</v>
      </c>
      <c r="F50" s="130">
        <v>96662</v>
      </c>
      <c r="G50" s="130">
        <f>G46+G47-G48+G49</f>
        <v>90678</v>
      </c>
      <c r="H50" s="130">
        <f t="shared" ref="H50:O50" si="39">H46+H47-H48</f>
        <v>78285</v>
      </c>
      <c r="I50" s="130">
        <f t="shared" si="39"/>
        <v>68207</v>
      </c>
      <c r="J50" s="130">
        <f t="shared" si="39"/>
        <v>58907</v>
      </c>
      <c r="K50" s="130">
        <f t="shared" si="39"/>
        <v>53672</v>
      </c>
      <c r="L50" s="130">
        <f t="shared" si="39"/>
        <v>48700</v>
      </c>
      <c r="M50" s="130">
        <f t="shared" si="39"/>
        <v>40446</v>
      </c>
      <c r="N50" s="130">
        <f t="shared" si="39"/>
        <v>32192</v>
      </c>
      <c r="O50" s="130">
        <f t="shared" si="39"/>
        <v>23938</v>
      </c>
      <c r="P50" s="12"/>
    </row>
    <row r="51" spans="2:16" x14ac:dyDescent="0.2">
      <c r="B51" s="35"/>
      <c r="C51" s="35"/>
      <c r="D51" s="35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2"/>
    </row>
    <row r="52" spans="2:16" x14ac:dyDescent="0.2">
      <c r="B52" s="12" t="s">
        <v>223</v>
      </c>
      <c r="C52" s="12"/>
      <c r="D52" s="27">
        <f>'Balance Sheet'!D27</f>
        <v>9982</v>
      </c>
      <c r="E52" s="27">
        <f>'Balance Sheet'!E27</f>
        <v>5985</v>
      </c>
      <c r="F52" s="27">
        <v>9967</v>
      </c>
      <c r="G52" s="27">
        <v>7979</v>
      </c>
      <c r="H52" s="73">
        <f t="shared" ref="H52:O52" si="40">G52</f>
        <v>7979</v>
      </c>
      <c r="I52" s="73">
        <f t="shared" si="40"/>
        <v>7979</v>
      </c>
      <c r="J52" s="73">
        <f t="shared" si="40"/>
        <v>7979</v>
      </c>
      <c r="K52" s="73">
        <f t="shared" si="40"/>
        <v>7979</v>
      </c>
      <c r="L52" s="73">
        <f t="shared" si="40"/>
        <v>7979</v>
      </c>
      <c r="M52" s="73">
        <f t="shared" si="40"/>
        <v>7979</v>
      </c>
      <c r="N52" s="73">
        <f t="shared" si="40"/>
        <v>7979</v>
      </c>
      <c r="O52" s="73">
        <f t="shared" si="40"/>
        <v>7979</v>
      </c>
      <c r="P52" s="12"/>
    </row>
    <row r="53" spans="2:16" ht="17" thickBot="1" x14ac:dyDescent="0.25">
      <c r="B53" s="132" t="s">
        <v>224</v>
      </c>
      <c r="C53" s="133"/>
      <c r="D53" s="133">
        <f t="shared" ref="D53:O53" si="41">D50+D52</f>
        <v>120069</v>
      </c>
      <c r="E53" s="133">
        <f t="shared" si="41"/>
        <v>111088</v>
      </c>
      <c r="F53" s="133">
        <f t="shared" si="41"/>
        <v>106629</v>
      </c>
      <c r="G53" s="133">
        <f t="shared" si="41"/>
        <v>98657</v>
      </c>
      <c r="H53" s="133">
        <f t="shared" si="41"/>
        <v>86264</v>
      </c>
      <c r="I53" s="133">
        <f t="shared" si="41"/>
        <v>76186</v>
      </c>
      <c r="J53" s="133">
        <f t="shared" si="41"/>
        <v>66886</v>
      </c>
      <c r="K53" s="133">
        <f t="shared" si="41"/>
        <v>61651</v>
      </c>
      <c r="L53" s="133">
        <f t="shared" si="41"/>
        <v>56679</v>
      </c>
      <c r="M53" s="133">
        <f t="shared" si="41"/>
        <v>48425</v>
      </c>
      <c r="N53" s="133">
        <f t="shared" si="41"/>
        <v>40171</v>
      </c>
      <c r="O53" s="133">
        <f t="shared" si="41"/>
        <v>31917</v>
      </c>
      <c r="P53" s="12"/>
    </row>
    <row r="54" spans="2:16" ht="17" thickTop="1" x14ac:dyDescent="0.2">
      <c r="B54" s="35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2:16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2:16" ht="19" x14ac:dyDescent="0.25">
      <c r="B56" s="99" t="s">
        <v>192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12"/>
    </row>
    <row r="57" spans="2:16" x14ac:dyDescent="0.2">
      <c r="B57" s="43"/>
      <c r="C57" s="43"/>
      <c r="D57" s="82">
        <v>2022</v>
      </c>
      <c r="E57" s="82">
        <f t="shared" ref="E57" si="42">D57+1</f>
        <v>2023</v>
      </c>
      <c r="F57" s="82">
        <f t="shared" ref="F57" si="43">E57+1</f>
        <v>2024</v>
      </c>
      <c r="G57" s="82">
        <f t="shared" ref="G57" si="44">F57+1</f>
        <v>2025</v>
      </c>
      <c r="H57" s="83">
        <f t="shared" ref="H57" si="45">G57+1</f>
        <v>2026</v>
      </c>
      <c r="I57" s="83">
        <f t="shared" ref="I57" si="46">H57+1</f>
        <v>2027</v>
      </c>
      <c r="J57" s="83">
        <f t="shared" ref="J57" si="47">I57+1</f>
        <v>2028</v>
      </c>
      <c r="K57" s="83">
        <f t="shared" ref="K57" si="48">J57+1</f>
        <v>2029</v>
      </c>
      <c r="L57" s="83">
        <f t="shared" ref="L57" si="49">K57+1</f>
        <v>2030</v>
      </c>
      <c r="M57" s="83">
        <f t="shared" ref="M57" si="50">L57+1</f>
        <v>2031</v>
      </c>
      <c r="N57" s="83">
        <f t="shared" ref="N57" si="51">M57+1</f>
        <v>2032</v>
      </c>
      <c r="O57" s="83">
        <f t="shared" ref="O57" si="52">N57+1</f>
        <v>2033</v>
      </c>
      <c r="P57" s="12"/>
    </row>
    <row r="58" spans="2:16" x14ac:dyDescent="0.2">
      <c r="B58" s="134" t="s">
        <v>228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2:16" x14ac:dyDescent="0.2">
      <c r="B59" s="135" t="s">
        <v>237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2:16" x14ac:dyDescent="0.2">
      <c r="B60" s="136" t="s">
        <v>232</v>
      </c>
      <c r="C60" s="12"/>
      <c r="D60" s="94">
        <v>16426786</v>
      </c>
      <c r="E60" s="27">
        <v>15943425</v>
      </c>
      <c r="F60" s="27">
        <v>15550061</v>
      </c>
      <c r="G60" s="27">
        <v>15116786</v>
      </c>
      <c r="H60" s="95">
        <f>G63</f>
        <v>14773260</v>
      </c>
      <c r="I60" s="95">
        <f t="shared" ref="I60:O60" si="53">H63</f>
        <v>14449805.734463941</v>
      </c>
      <c r="J60" s="95">
        <f t="shared" si="53"/>
        <v>14173316.535659162</v>
      </c>
      <c r="K60" s="95">
        <f t="shared" si="53"/>
        <v>13940308.519922335</v>
      </c>
      <c r="L60" s="95">
        <f t="shared" si="53"/>
        <v>13745111.993798994</v>
      </c>
      <c r="M60" s="95">
        <f t="shared" si="53"/>
        <v>13582785.166797552</v>
      </c>
      <c r="N60" s="95">
        <f t="shared" si="53"/>
        <v>13448896.634747002</v>
      </c>
      <c r="O60" s="95">
        <f t="shared" si="53"/>
        <v>13339684.72256048</v>
      </c>
      <c r="P60" s="12"/>
    </row>
    <row r="61" spans="2:16" x14ac:dyDescent="0.2">
      <c r="B61" s="136" t="s">
        <v>231</v>
      </c>
      <c r="C61" s="12"/>
      <c r="D61" s="94">
        <v>-568589</v>
      </c>
      <c r="E61" s="137">
        <v>-471419</v>
      </c>
      <c r="F61" s="137">
        <v>-499372</v>
      </c>
      <c r="G61" s="137">
        <v>-401672</v>
      </c>
      <c r="H61" s="95">
        <f>-Assumptions!H46*1000/Assumptions!H47</f>
        <v>-359476.39506484626</v>
      </c>
      <c r="I61" s="95">
        <f>-Assumptions!I46*1000/Assumptions!I47</f>
        <v>-311060.71037882444</v>
      </c>
      <c r="J61" s="95">
        <f>-Assumptions!J46*1000/Assumptions!J47</f>
        <v>-266148.2013936466</v>
      </c>
      <c r="K61" s="95">
        <f>-Assumptions!K46*1000/Assumptions!K47</f>
        <v>-226830.85346049423</v>
      </c>
      <c r="L61" s="95">
        <f>-Assumptions!L46*1000/Assumptions!L47</f>
        <v>-192462.54233011627</v>
      </c>
      <c r="M61" s="95">
        <f>-Assumptions!M46*1000/Assumptions!M47</f>
        <v>-162468.37988905917</v>
      </c>
      <c r="N61" s="95">
        <f>-Assumptions!N46*1000/Assumptions!N47</f>
        <v>-136337.10200480488</v>
      </c>
      <c r="O61" s="95">
        <f>-Assumptions!O46*1000/Assumptions!O47</f>
        <v>-113614.25167067074</v>
      </c>
      <c r="P61" s="12"/>
    </row>
    <row r="62" spans="2:16" x14ac:dyDescent="0.2">
      <c r="B62" s="136" t="s">
        <v>233</v>
      </c>
      <c r="C62" s="12"/>
      <c r="D62" s="27">
        <v>85228</v>
      </c>
      <c r="E62" s="137">
        <v>78055</v>
      </c>
      <c r="F62" s="137">
        <v>66097</v>
      </c>
      <c r="G62" s="137">
        <v>58146</v>
      </c>
      <c r="H62" s="73">
        <f>(Assumptions!H48*'Revenue Build'!H8*1000/Assumptions!H47)*0.65</f>
        <v>36022.129528787387</v>
      </c>
      <c r="I62" s="73">
        <f>(Assumptions!I48*'Revenue Build'!I8*1000/Assumptions!I47)*0.65</f>
        <v>34571.511574043987</v>
      </c>
      <c r="J62" s="73">
        <f>(Assumptions!J48*'Revenue Build'!J8*1000/Assumptions!J47)*0.65</f>
        <v>33140.185656818765</v>
      </c>
      <c r="K62" s="73">
        <f>(Assumptions!K48*'Revenue Build'!K8*1000/Assumptions!K47)*0.65</f>
        <v>31634.327337153369</v>
      </c>
      <c r="L62" s="73">
        <f>(Assumptions!L48*'Revenue Build'!L8*1000/Assumptions!L47)*0.65</f>
        <v>30135.715328675564</v>
      </c>
      <c r="M62" s="73">
        <f>(Assumptions!M48*'Revenue Build'!M8*1000/Assumptions!M47)*0.65</f>
        <v>28579.847838510548</v>
      </c>
      <c r="N62" s="73">
        <f>(Assumptions!N48*'Revenue Build'!N8*1000/Assumptions!N47)*0.65</f>
        <v>27125.189818283758</v>
      </c>
      <c r="O62" s="73">
        <f>(Assumptions!O48*'Revenue Build'!O8*1000/Assumptions!O47)*0.65</f>
        <v>25679.361427419321</v>
      </c>
      <c r="P62" s="12"/>
    </row>
    <row r="63" spans="2:16" ht="17" thickBot="1" x14ac:dyDescent="0.25">
      <c r="B63" s="138" t="s">
        <v>258</v>
      </c>
      <c r="C63" s="69"/>
      <c r="D63" s="139">
        <f t="shared" ref="D63:O63" si="54">D60+D61+D62</f>
        <v>15943425</v>
      </c>
      <c r="E63" s="139">
        <f t="shared" si="54"/>
        <v>15550061</v>
      </c>
      <c r="F63" s="139">
        <f t="shared" si="54"/>
        <v>15116786</v>
      </c>
      <c r="G63" s="139">
        <f t="shared" si="54"/>
        <v>14773260</v>
      </c>
      <c r="H63" s="139">
        <f t="shared" si="54"/>
        <v>14449805.734463941</v>
      </c>
      <c r="I63" s="139">
        <f t="shared" si="54"/>
        <v>14173316.535659162</v>
      </c>
      <c r="J63" s="139">
        <f t="shared" si="54"/>
        <v>13940308.519922335</v>
      </c>
      <c r="K63" s="139">
        <f t="shared" si="54"/>
        <v>13745111.993798994</v>
      </c>
      <c r="L63" s="139">
        <f t="shared" si="54"/>
        <v>13582785.166797552</v>
      </c>
      <c r="M63" s="139">
        <f t="shared" si="54"/>
        <v>13448896.634747002</v>
      </c>
      <c r="N63" s="139">
        <f t="shared" si="54"/>
        <v>13339684.72256048</v>
      </c>
      <c r="O63" s="139">
        <f t="shared" si="54"/>
        <v>13251749.832317227</v>
      </c>
      <c r="P63" s="12"/>
    </row>
    <row r="64" spans="2:16" x14ac:dyDescent="0.2">
      <c r="B64" s="136" t="s">
        <v>249</v>
      </c>
      <c r="C64" s="12"/>
      <c r="D64" s="140">
        <v>16215.963</v>
      </c>
      <c r="E64" s="140">
        <v>15744.231</v>
      </c>
      <c r="F64" s="140">
        <v>15343.782999999999</v>
      </c>
      <c r="G64" s="140">
        <v>14948.5</v>
      </c>
      <c r="H64" s="141">
        <v>14500.045</v>
      </c>
      <c r="I64" s="141">
        <v>14065.04365</v>
      </c>
      <c r="J64" s="141">
        <v>13643.092340499999</v>
      </c>
      <c r="K64" s="141">
        <v>13233.799570284998</v>
      </c>
      <c r="L64" s="141">
        <v>12836.785583176448</v>
      </c>
      <c r="M64" s="141">
        <v>12451.682015681154</v>
      </c>
      <c r="N64" s="141">
        <v>12078.131555210719</v>
      </c>
      <c r="O64" s="141">
        <v>11715.787608554398</v>
      </c>
      <c r="P64" s="12"/>
    </row>
    <row r="65" spans="2:16" x14ac:dyDescent="0.2">
      <c r="B65" s="136" t="s">
        <v>234</v>
      </c>
      <c r="C65" s="12"/>
      <c r="D65" s="140">
        <v>16325.819</v>
      </c>
      <c r="E65" s="140">
        <v>15812.547</v>
      </c>
      <c r="F65" s="27">
        <v>15408.094999999999</v>
      </c>
      <c r="G65" s="27">
        <v>15004.697</v>
      </c>
      <c r="H65" s="141">
        <v>14601.545314999999</v>
      </c>
      <c r="I65" s="12">
        <v>14163.498955549998</v>
      </c>
      <c r="J65" s="12">
        <v>13738.593986883498</v>
      </c>
      <c r="K65" s="12">
        <v>13326.436167276992</v>
      </c>
      <c r="L65" s="12">
        <v>12926.643082258683</v>
      </c>
      <c r="M65" s="12">
        <v>12538.843789790921</v>
      </c>
      <c r="N65" s="12">
        <v>12162.678476097193</v>
      </c>
      <c r="O65" s="12">
        <v>11797.798121814278</v>
      </c>
      <c r="P65" s="12"/>
    </row>
    <row r="66" spans="2:16" x14ac:dyDescent="0.2">
      <c r="B66" s="136"/>
      <c r="C66" s="12"/>
      <c r="D66" s="140"/>
      <c r="E66" s="140"/>
      <c r="F66" s="27"/>
      <c r="G66" s="27"/>
      <c r="H66" s="141"/>
      <c r="I66" s="12"/>
      <c r="J66" s="12"/>
      <c r="K66" s="12"/>
      <c r="L66" s="12"/>
      <c r="M66" s="12"/>
      <c r="N66" s="12"/>
      <c r="O66" s="12"/>
      <c r="P66" s="12"/>
    </row>
    <row r="67" spans="2:16" x14ac:dyDescent="0.2">
      <c r="B67" s="135" t="s">
        <v>263</v>
      </c>
      <c r="C67" s="12"/>
      <c r="D67" s="140"/>
      <c r="E67" s="140"/>
      <c r="F67" s="27"/>
      <c r="G67" s="27"/>
      <c r="H67" s="141"/>
      <c r="I67" s="12"/>
      <c r="J67" s="12"/>
      <c r="K67" s="12"/>
      <c r="L67" s="12"/>
      <c r="M67" s="12"/>
      <c r="N67" s="12"/>
      <c r="O67" s="12"/>
      <c r="P67" s="12"/>
    </row>
    <row r="68" spans="2:16" x14ac:dyDescent="0.2">
      <c r="B68" s="136" t="s">
        <v>253</v>
      </c>
      <c r="C68" s="12"/>
      <c r="D68" s="108">
        <v>89402</v>
      </c>
      <c r="E68" s="108">
        <v>77550</v>
      </c>
      <c r="F68" s="108">
        <v>94949</v>
      </c>
      <c r="G68" s="27">
        <v>90711</v>
      </c>
      <c r="H68" s="63">
        <f>Assumptions!H46</f>
        <v>89300</v>
      </c>
      <c r="I68" s="63">
        <f>Assumptions!I46</f>
        <v>85000</v>
      </c>
      <c r="J68" s="63">
        <f>Assumptions!J46</f>
        <v>80000</v>
      </c>
      <c r="K68" s="63">
        <f>Assumptions!K46</f>
        <v>75000</v>
      </c>
      <c r="L68" s="63">
        <f>Assumptions!L46</f>
        <v>70000</v>
      </c>
      <c r="M68" s="63">
        <f>Assumptions!M46</f>
        <v>65000</v>
      </c>
      <c r="N68" s="63">
        <f>Assumptions!N46</f>
        <v>60000</v>
      </c>
      <c r="O68" s="63">
        <f>Assumptions!O46</f>
        <v>55000</v>
      </c>
      <c r="P68" s="12"/>
    </row>
    <row r="69" spans="2:16" x14ac:dyDescent="0.2">
      <c r="B69" s="136" t="s">
        <v>254</v>
      </c>
      <c r="C69" s="12"/>
      <c r="D69" s="31">
        <f>Assumptions!D47</f>
        <v>157.23483922481793</v>
      </c>
      <c r="E69" s="31">
        <f>Assumptions!E47</f>
        <v>164.50333991629526</v>
      </c>
      <c r="F69" s="31">
        <f>Assumptions!F47</f>
        <v>190.13681183566558</v>
      </c>
      <c r="G69" s="31">
        <f>Assumptions!G47</f>
        <v>225.83351590352328</v>
      </c>
      <c r="H69" s="31">
        <f>Assumptions!H47</f>
        <v>248.41686749387563</v>
      </c>
      <c r="I69" s="31">
        <f>Assumptions!I47</f>
        <v>273.25855424326323</v>
      </c>
      <c r="J69" s="31">
        <f>Assumptions!J47</f>
        <v>300.58440966758957</v>
      </c>
      <c r="K69" s="31">
        <f>Assumptions!K47</f>
        <v>330.64285063434858</v>
      </c>
      <c r="L69" s="31">
        <f>Assumptions!L47</f>
        <v>363.70713569778349</v>
      </c>
      <c r="M69" s="31">
        <f>Assumptions!M47</f>
        <v>400.07784926756187</v>
      </c>
      <c r="N69" s="31">
        <f>Assumptions!N47</f>
        <v>440.08563419431812</v>
      </c>
      <c r="O69" s="31">
        <f>Assumptions!O47</f>
        <v>484.09419761374994</v>
      </c>
      <c r="P69" s="12"/>
    </row>
    <row r="70" spans="2:16" x14ac:dyDescent="0.2">
      <c r="B70" s="136" t="s">
        <v>264</v>
      </c>
      <c r="C70" s="12"/>
      <c r="D70" s="108">
        <f>D68*1000/D69</f>
        <v>568589</v>
      </c>
      <c r="E70" s="108">
        <f t="shared" ref="E70:G70" si="55">E68*1000/E69</f>
        <v>471419</v>
      </c>
      <c r="F70" s="108">
        <f t="shared" si="55"/>
        <v>499372.00000000006</v>
      </c>
      <c r="G70" s="108">
        <f t="shared" si="55"/>
        <v>401672</v>
      </c>
      <c r="H70" s="108">
        <f t="shared" ref="H70" si="56">H68*1000/H69</f>
        <v>359476.39506484626</v>
      </c>
      <c r="I70" s="108">
        <f t="shared" ref="I70" si="57">I68*1000/I69</f>
        <v>311060.71037882444</v>
      </c>
      <c r="J70" s="108">
        <f t="shared" ref="J70" si="58">J68*1000/J69</f>
        <v>266148.2013936466</v>
      </c>
      <c r="K70" s="108">
        <f t="shared" ref="K70" si="59">K68*1000/K69</f>
        <v>226830.85346049423</v>
      </c>
      <c r="L70" s="108">
        <f t="shared" ref="L70" si="60">L68*1000/L69</f>
        <v>192462.54233011627</v>
      </c>
      <c r="M70" s="108">
        <f t="shared" ref="M70" si="61">M68*1000/M69</f>
        <v>162468.37988905917</v>
      </c>
      <c r="N70" s="108">
        <f t="shared" ref="N70" si="62">N68*1000/N69</f>
        <v>136337.10200480488</v>
      </c>
      <c r="O70" s="108">
        <f t="shared" ref="O70" si="63">O68*1000/O69</f>
        <v>113614.25167067074</v>
      </c>
      <c r="P70" s="12"/>
    </row>
    <row r="71" spans="2:16" x14ac:dyDescent="0.2">
      <c r="B71" s="136"/>
      <c r="C71" s="12"/>
      <c r="D71" s="140"/>
      <c r="E71" s="140"/>
      <c r="F71" s="27"/>
      <c r="G71" s="27"/>
      <c r="H71" s="141"/>
      <c r="I71" s="12"/>
      <c r="J71" s="12"/>
      <c r="K71" s="12"/>
      <c r="L71" s="12"/>
      <c r="M71" s="12"/>
      <c r="N71" s="12"/>
      <c r="O71" s="12"/>
      <c r="P71" s="12"/>
    </row>
    <row r="72" spans="2:16" x14ac:dyDescent="0.2">
      <c r="B72" s="142" t="s">
        <v>230</v>
      </c>
      <c r="C72" s="12"/>
      <c r="D72" s="27"/>
      <c r="E72" s="27"/>
      <c r="F72" s="27"/>
      <c r="G72" s="27"/>
      <c r="H72" s="12"/>
      <c r="I72" s="12"/>
      <c r="J72" s="12"/>
      <c r="K72" s="12"/>
      <c r="L72" s="12"/>
      <c r="M72" s="12"/>
      <c r="N72" s="12"/>
      <c r="O72" s="12"/>
      <c r="P72" s="12"/>
    </row>
    <row r="73" spans="2:16" x14ac:dyDescent="0.2">
      <c r="B73" s="12" t="s">
        <v>250</v>
      </c>
      <c r="C73" s="12"/>
      <c r="D73" s="27">
        <v>14793</v>
      </c>
      <c r="E73" s="27">
        <v>14996</v>
      </c>
      <c r="F73" s="27">
        <v>15218</v>
      </c>
      <c r="G73" s="108">
        <v>15413</v>
      </c>
      <c r="H73" s="108">
        <v>16029.52</v>
      </c>
      <c r="I73" s="108">
        <v>16670.700800000002</v>
      </c>
      <c r="J73" s="108">
        <v>17337.528832000004</v>
      </c>
      <c r="K73" s="108">
        <v>18031.029985280005</v>
      </c>
      <c r="L73" s="108">
        <v>18752.271184691206</v>
      </c>
      <c r="M73" s="108">
        <v>19502.362032078854</v>
      </c>
      <c r="N73" s="108">
        <v>20282.456513362009</v>
      </c>
      <c r="O73" s="108">
        <v>21093.754773896489</v>
      </c>
      <c r="P73" s="12"/>
    </row>
    <row r="74" spans="2:16" x14ac:dyDescent="0.2">
      <c r="B74" s="12" t="s">
        <v>236</v>
      </c>
      <c r="C74" s="12"/>
      <c r="D74" s="31">
        <f t="shared" ref="D74:O74" si="64">(D73*1000)/D63</f>
        <v>0.92784329590411097</v>
      </c>
      <c r="E74" s="31">
        <f t="shared" si="64"/>
        <v>0.96436920729764342</v>
      </c>
      <c r="F74" s="31">
        <f t="shared" si="64"/>
        <v>1.0066954708494253</v>
      </c>
      <c r="G74" s="31">
        <f t="shared" si="64"/>
        <v>1.0433039153172692</v>
      </c>
      <c r="H74" s="31">
        <f t="shared" si="64"/>
        <v>1.1093242562955925</v>
      </c>
      <c r="I74" s="31">
        <f t="shared" si="64"/>
        <v>1.1762032378277576</v>
      </c>
      <c r="J74" s="31">
        <f t="shared" si="64"/>
        <v>1.2436976417862375</v>
      </c>
      <c r="K74" s="31">
        <f t="shared" si="64"/>
        <v>1.3118139738268102</v>
      </c>
      <c r="L74" s="31">
        <f t="shared" si="64"/>
        <v>1.380591016821072</v>
      </c>
      <c r="M74" s="31">
        <f t="shared" si="64"/>
        <v>1.4501087012366445</v>
      </c>
      <c r="N74" s="31">
        <f t="shared" si="64"/>
        <v>1.5204599610258931</v>
      </c>
      <c r="O74" s="31">
        <f t="shared" si="64"/>
        <v>1.5917712785714424</v>
      </c>
      <c r="P74" s="12"/>
    </row>
    <row r="75" spans="2:16" x14ac:dyDescent="0.2">
      <c r="B75" s="12" t="s">
        <v>251</v>
      </c>
      <c r="C75" s="12"/>
      <c r="D75" s="31">
        <f>D74/4</f>
        <v>0.23196082397602774</v>
      </c>
      <c r="E75" s="31">
        <f t="shared" ref="E75:O75" si="65">E74/4</f>
        <v>0.24109230182441085</v>
      </c>
      <c r="F75" s="31">
        <f t="shared" si="65"/>
        <v>0.25167386771235634</v>
      </c>
      <c r="G75" s="31">
        <f t="shared" si="65"/>
        <v>0.2608259788293173</v>
      </c>
      <c r="H75" s="31">
        <f t="shared" si="65"/>
        <v>0.27733106407389813</v>
      </c>
      <c r="I75" s="31">
        <f t="shared" si="65"/>
        <v>0.2940508094569394</v>
      </c>
      <c r="J75" s="31">
        <f t="shared" si="65"/>
        <v>0.31092441044655938</v>
      </c>
      <c r="K75" s="31">
        <f t="shared" si="65"/>
        <v>0.32795349345670255</v>
      </c>
      <c r="L75" s="31">
        <f t="shared" si="65"/>
        <v>0.345147754205268</v>
      </c>
      <c r="M75" s="31">
        <f t="shared" si="65"/>
        <v>0.36252717530916112</v>
      </c>
      <c r="N75" s="31">
        <f t="shared" si="65"/>
        <v>0.38011499025647327</v>
      </c>
      <c r="O75" s="31">
        <f t="shared" si="65"/>
        <v>0.3979428196428606</v>
      </c>
      <c r="P75" s="12"/>
    </row>
    <row r="76" spans="2:16" x14ac:dyDescent="0.2">
      <c r="B76" s="12" t="s">
        <v>252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2:16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2:16" x14ac:dyDescent="0.2">
      <c r="B78" s="35" t="s">
        <v>255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2:16" x14ac:dyDescent="0.2">
      <c r="B79" s="12" t="s">
        <v>256</v>
      </c>
      <c r="C79" s="12"/>
      <c r="D79" s="27">
        <v>9038</v>
      </c>
      <c r="E79" s="27">
        <v>10833</v>
      </c>
      <c r="F79" s="27">
        <v>11688</v>
      </c>
      <c r="G79" s="27">
        <v>12863</v>
      </c>
      <c r="H79" s="12"/>
      <c r="I79" s="12"/>
      <c r="J79" s="12"/>
      <c r="K79" s="12"/>
      <c r="L79" s="12"/>
      <c r="M79" s="12"/>
      <c r="N79" s="12"/>
      <c r="O79" s="12"/>
      <c r="P79" s="12"/>
    </row>
    <row r="80" spans="2:16" x14ac:dyDescent="0.2">
      <c r="B80" s="12" t="s">
        <v>257</v>
      </c>
      <c r="C80" s="12"/>
      <c r="D80" s="27">
        <v>6223</v>
      </c>
      <c r="E80" s="27">
        <v>5431</v>
      </c>
      <c r="F80" s="27">
        <v>5441</v>
      </c>
      <c r="G80" s="27">
        <v>5960</v>
      </c>
      <c r="H80" s="12"/>
      <c r="I80" s="12"/>
      <c r="J80" s="12"/>
      <c r="K80" s="12"/>
      <c r="L80" s="12"/>
      <c r="M80" s="12"/>
      <c r="N80" s="12"/>
      <c r="O80" s="12"/>
      <c r="P80" s="12"/>
    </row>
    <row r="81" spans="2:16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2:16" x14ac:dyDescent="0.2">
      <c r="B82" s="35" t="s">
        <v>259</v>
      </c>
      <c r="C82" s="12"/>
      <c r="D82" s="27"/>
      <c r="E82" s="27"/>
      <c r="F82" s="27"/>
      <c r="G82" s="27"/>
      <c r="H82" s="12"/>
      <c r="I82" s="12"/>
      <c r="J82" s="12"/>
      <c r="K82" s="12"/>
      <c r="L82" s="12"/>
      <c r="M82" s="12"/>
      <c r="N82" s="12"/>
      <c r="O82" s="12"/>
      <c r="P82" s="12"/>
    </row>
    <row r="83" spans="2:16" x14ac:dyDescent="0.2">
      <c r="B83" s="12" t="s">
        <v>260</v>
      </c>
      <c r="C83" s="12"/>
      <c r="D83" s="27"/>
      <c r="E83" s="27">
        <v>50672</v>
      </c>
      <c r="F83" s="27">
        <v>62146</v>
      </c>
      <c r="G83" s="27">
        <v>56950</v>
      </c>
      <c r="H83" s="73">
        <f>G89</f>
        <v>73733</v>
      </c>
      <c r="I83" s="73">
        <f t="shared" ref="I83:O83" si="66">H89</f>
        <v>96013.152132960022</v>
      </c>
      <c r="J83" s="73">
        <f t="shared" si="66"/>
        <v>131423.25093720184</v>
      </c>
      <c r="K83" s="73">
        <f t="shared" si="66"/>
        <v>180707.98348577225</v>
      </c>
      <c r="L83" s="73">
        <f t="shared" si="66"/>
        <v>243376.97077395016</v>
      </c>
      <c r="M83" s="73">
        <f t="shared" si="66"/>
        <v>320522.65283712203</v>
      </c>
      <c r="N83" s="73">
        <f t="shared" si="66"/>
        <v>411469.7357693474</v>
      </c>
      <c r="O83" s="73">
        <f t="shared" si="66"/>
        <v>516846.82791826985</v>
      </c>
      <c r="P83" s="12"/>
    </row>
    <row r="84" spans="2:16" x14ac:dyDescent="0.2">
      <c r="B84" s="12" t="s">
        <v>4</v>
      </c>
      <c r="C84" s="12"/>
      <c r="D84" s="108">
        <f>'Income Statement'!D22</f>
        <v>99803</v>
      </c>
      <c r="E84" s="108">
        <f>'Income Statement'!E22</f>
        <v>96995</v>
      </c>
      <c r="F84" s="108">
        <f>'Income Statement'!F22</f>
        <v>93736</v>
      </c>
      <c r="G84" s="108">
        <f>'Income Statement'!G22</f>
        <v>112010</v>
      </c>
      <c r="H84" s="63">
        <f>'Income Statement'!H22</f>
        <v>120193.29364896001</v>
      </c>
      <c r="I84" s="63">
        <f>'Income Statement'!I22</f>
        <v>129251.3081292468</v>
      </c>
      <c r="J84" s="63">
        <f>'Income Statement'!J22</f>
        <v>138366.39207683751</v>
      </c>
      <c r="K84" s="63">
        <f>'Income Statement'!K22</f>
        <v>147031.21371928602</v>
      </c>
      <c r="L84" s="63">
        <f>'Income Statement'!L22</f>
        <v>156814.00299657678</v>
      </c>
      <c r="M84" s="63">
        <f>'Income Statement'!M22</f>
        <v>165972.9913797412</v>
      </c>
      <c r="N84" s="63">
        <f>'Income Statement'!N22</f>
        <v>175766.01584462661</v>
      </c>
      <c r="O84" s="63">
        <f>'Income Statement'!O22</f>
        <v>185628.18321352461</v>
      </c>
      <c r="P84" s="12"/>
    </row>
    <row r="85" spans="2:16" x14ac:dyDescent="0.2">
      <c r="B85" s="12" t="s">
        <v>235</v>
      </c>
      <c r="C85" s="12"/>
      <c r="D85" s="27">
        <f>D73</f>
        <v>14793</v>
      </c>
      <c r="E85" s="27">
        <f t="shared" ref="E85:O85" si="67">E73</f>
        <v>14996</v>
      </c>
      <c r="F85" s="27">
        <f t="shared" si="67"/>
        <v>15218</v>
      </c>
      <c r="G85" s="27">
        <f t="shared" si="67"/>
        <v>15413</v>
      </c>
      <c r="H85" s="63">
        <f t="shared" si="67"/>
        <v>16029.52</v>
      </c>
      <c r="I85" s="63">
        <f t="shared" si="67"/>
        <v>16670.700800000002</v>
      </c>
      <c r="J85" s="63">
        <f t="shared" si="67"/>
        <v>17337.528832000004</v>
      </c>
      <c r="K85" s="63">
        <f t="shared" si="67"/>
        <v>18031.029985280005</v>
      </c>
      <c r="L85" s="63">
        <f t="shared" si="67"/>
        <v>18752.271184691206</v>
      </c>
      <c r="M85" s="63">
        <f t="shared" si="67"/>
        <v>19502.362032078854</v>
      </c>
      <c r="N85" s="63">
        <f t="shared" si="67"/>
        <v>20282.456513362009</v>
      </c>
      <c r="O85" s="63">
        <f t="shared" si="67"/>
        <v>21093.754773896489</v>
      </c>
      <c r="P85" s="12"/>
    </row>
    <row r="86" spans="2:16" x14ac:dyDescent="0.2">
      <c r="B86" s="12" t="s">
        <v>261</v>
      </c>
      <c r="C86" s="12"/>
      <c r="D86" s="63">
        <f>Assumptions!D46</f>
        <v>89402</v>
      </c>
      <c r="E86" s="63">
        <f>Assumptions!E46</f>
        <v>77550</v>
      </c>
      <c r="F86" s="63">
        <f>Assumptions!F46</f>
        <v>94949</v>
      </c>
      <c r="G86" s="63">
        <f>Assumptions!G46</f>
        <v>90711</v>
      </c>
      <c r="H86" s="63">
        <f>Assumptions!H46</f>
        <v>89300</v>
      </c>
      <c r="I86" s="63">
        <f>Assumptions!I46</f>
        <v>85000</v>
      </c>
      <c r="J86" s="63">
        <f>Assumptions!J46</f>
        <v>80000</v>
      </c>
      <c r="K86" s="63">
        <f>Assumptions!K46</f>
        <v>75000</v>
      </c>
      <c r="L86" s="63">
        <f>Assumptions!L46</f>
        <v>70000</v>
      </c>
      <c r="M86" s="63">
        <f>Assumptions!M46</f>
        <v>65000</v>
      </c>
      <c r="N86" s="63">
        <f>Assumptions!N46</f>
        <v>60000</v>
      </c>
      <c r="O86" s="63">
        <f>Assumptions!O46</f>
        <v>55000</v>
      </c>
      <c r="P86" s="12"/>
    </row>
    <row r="87" spans="2:16" x14ac:dyDescent="0.2">
      <c r="B87" s="12" t="s">
        <v>256</v>
      </c>
      <c r="C87" s="12"/>
      <c r="D87" s="27">
        <f>D79</f>
        <v>9038</v>
      </c>
      <c r="E87" s="27">
        <f t="shared" ref="E87:G87" si="68">E79</f>
        <v>10833</v>
      </c>
      <c r="F87" s="27">
        <f t="shared" si="68"/>
        <v>11688</v>
      </c>
      <c r="G87" s="27">
        <f t="shared" si="68"/>
        <v>12863</v>
      </c>
      <c r="H87" s="63">
        <f>'Income Statement'!H8*Assumptions!H48</f>
        <v>13766.930120000001</v>
      </c>
      <c r="I87" s="63">
        <f>'Income Statement'!I8*Assumptions!I48</f>
        <v>14533.786570350001</v>
      </c>
      <c r="J87" s="63">
        <f>'Income Statement'!J8*Assumptions!J48</f>
        <v>15325.26637219875</v>
      </c>
      <c r="K87" s="63">
        <f>'Income Statement'!K8*Assumptions!K48</f>
        <v>16091.791028702295</v>
      </c>
      <c r="L87" s="63">
        <f>'Income Statement'!L8*Assumptions!L48</f>
        <v>16862.422622148271</v>
      </c>
      <c r="M87" s="63">
        <f>'Income Statement'!M8*Assumptions!M48</f>
        <v>17591.021624039196</v>
      </c>
      <c r="N87" s="63">
        <f>'Income Statement'!N8*Assumptions!N48</f>
        <v>18365.240559724105</v>
      </c>
      <c r="O87" s="63">
        <f>'Income Statement'!O8*Assumptions!O48</f>
        <v>19124.9690237539</v>
      </c>
      <c r="P87" s="12"/>
    </row>
    <row r="88" spans="2:16" x14ac:dyDescent="0.2">
      <c r="B88" s="12" t="s">
        <v>257</v>
      </c>
      <c r="C88" s="12"/>
      <c r="D88" s="27">
        <f>D80</f>
        <v>6223</v>
      </c>
      <c r="E88" s="27">
        <f t="shared" ref="E88:G88" si="69">E80</f>
        <v>5431</v>
      </c>
      <c r="F88" s="27">
        <f t="shared" si="69"/>
        <v>5441</v>
      </c>
      <c r="G88" s="27">
        <f t="shared" si="69"/>
        <v>5960</v>
      </c>
      <c r="H88" s="63">
        <f>'Income Statement'!H8*Assumptions!H49</f>
        <v>6350.5516360000001</v>
      </c>
      <c r="I88" s="63">
        <f>'Income Statement'!I8*Assumptions!I49</f>
        <v>6704.2950953550007</v>
      </c>
      <c r="J88" s="63">
        <f>'Income Statement'!J8*Assumptions!J49</f>
        <v>7069.3970684658752</v>
      </c>
      <c r="K88" s="63">
        <f>'Income Statement'!K8*Assumptions!K49</f>
        <v>7422.9874745304132</v>
      </c>
      <c r="L88" s="63">
        <f>'Income Statement'!L8*Assumptions!L49</f>
        <v>7778.472370861944</v>
      </c>
      <c r="M88" s="63">
        <f>'Income Statement'!M8*Assumptions!M49</f>
        <v>8114.5680394761457</v>
      </c>
      <c r="N88" s="63">
        <f>'Income Statement'!N8*Assumptions!N49</f>
        <v>8471.7077420662808</v>
      </c>
      <c r="O88" s="63">
        <f>'Income Statement'!O8*Assumptions!O49</f>
        <v>8822.1631303122831</v>
      </c>
      <c r="P88" s="12"/>
    </row>
    <row r="89" spans="2:16" ht="17" thickBot="1" x14ac:dyDescent="0.25">
      <c r="B89" s="143" t="s">
        <v>262</v>
      </c>
      <c r="C89" s="143"/>
      <c r="D89" s="143">
        <v>50672</v>
      </c>
      <c r="E89" s="143">
        <v>62146</v>
      </c>
      <c r="F89" s="143">
        <v>56950</v>
      </c>
      <c r="G89" s="143">
        <v>73733</v>
      </c>
      <c r="H89" s="144">
        <f>H83+H84-H85-H86+H87-H88</f>
        <v>96013.152132960022</v>
      </c>
      <c r="I89" s="144">
        <f t="shared" ref="I89:K89" si="70">I83+I84-I85-I86+I87-I88</f>
        <v>131423.25093720184</v>
      </c>
      <c r="J89" s="144">
        <f t="shared" si="70"/>
        <v>180707.98348577225</v>
      </c>
      <c r="K89" s="144">
        <f t="shared" si="70"/>
        <v>243376.97077395016</v>
      </c>
      <c r="L89" s="144">
        <f>L83+L84-L85-L86+L87-L88</f>
        <v>320522.65283712203</v>
      </c>
      <c r="M89" s="144">
        <f t="shared" ref="M89" si="71">M83+M84-M85-M86+M87-M88</f>
        <v>411469.7357693474</v>
      </c>
      <c r="N89" s="144">
        <f t="shared" ref="N89" si="72">N83+N84-N85-N86+N87-N88</f>
        <v>516846.82791826985</v>
      </c>
      <c r="O89" s="144">
        <f t="shared" ref="O89" si="73">O83+O84-O85-O86+O87-O88</f>
        <v>636684.06225133955</v>
      </c>
      <c r="P89" s="12"/>
    </row>
    <row r="90" spans="2:16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spans="2:16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spans="2:16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2:16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2:16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spans="2:16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2:16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2:16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spans="2:16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spans="2:16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spans="2:16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spans="2:16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spans="2:16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spans="2:16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spans="2:16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2:16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spans="2:16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spans="2:16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spans="2:16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spans="2:16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spans="2:16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spans="2:16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spans="2:16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spans="2:16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spans="2:16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spans="2:16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spans="2:16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spans="2:16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spans="2:16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996D-FE95-1041-B938-FEB0A2865084}">
  <dimension ref="A1:O112"/>
  <sheetViews>
    <sheetView showGridLines="0" topLeftCell="A2" zoomScale="70" zoomScaleNormal="70" workbookViewId="0">
      <selection activeCell="R28" sqref="R28"/>
    </sheetView>
  </sheetViews>
  <sheetFormatPr baseColWidth="10" defaultRowHeight="16" x14ac:dyDescent="0.2"/>
  <cols>
    <col min="2" max="2" width="44.5" customWidth="1"/>
    <col min="5" max="5" width="12.5" customWidth="1"/>
    <col min="6" max="6" width="13.1640625" customWidth="1"/>
    <col min="7" max="7" width="13.5" customWidth="1"/>
    <col min="8" max="8" width="16.83203125" customWidth="1"/>
    <col min="9" max="9" width="34" customWidth="1"/>
    <col min="10" max="15" width="11" bestFit="1" customWidth="1"/>
  </cols>
  <sheetData>
    <row r="1" spans="1:15" ht="24" x14ac:dyDescent="0.3">
      <c r="B1" s="11" t="str">
        <f>Cover!F5&amp; " DCF"</f>
        <v>Apple Inc. DCF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7"/>
      <c r="O1" s="17"/>
    </row>
    <row r="2" spans="1:15" x14ac:dyDescent="0.2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x14ac:dyDescent="0.2">
      <c r="B3" s="12" t="s">
        <v>15</v>
      </c>
      <c r="C3" s="50" t="str">
        <f>Cover!F6</f>
        <v>AAPL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x14ac:dyDescent="0.2">
      <c r="B4" s="12" t="s">
        <v>98</v>
      </c>
      <c r="C4" s="50" t="s">
        <v>307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x14ac:dyDescent="0.2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x14ac:dyDescent="0.2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x14ac:dyDescent="0.2">
      <c r="A7" t="s">
        <v>99</v>
      </c>
      <c r="B7" s="16" t="s">
        <v>0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x14ac:dyDescent="0.2">
      <c r="B8" s="51" t="s">
        <v>278</v>
      </c>
      <c r="C8" s="12"/>
      <c r="D8" s="12"/>
      <c r="E8" s="12"/>
      <c r="F8" s="12"/>
      <c r="G8" s="12"/>
      <c r="H8" s="12"/>
      <c r="I8" s="51" t="s">
        <v>207</v>
      </c>
      <c r="J8" s="12"/>
      <c r="K8" s="12"/>
      <c r="L8" s="12"/>
      <c r="M8" s="12"/>
      <c r="N8" s="12"/>
      <c r="O8" s="12"/>
    </row>
    <row r="9" spans="1:15" x14ac:dyDescent="0.2">
      <c r="B9" s="52" t="s">
        <v>283</v>
      </c>
      <c r="C9" s="53">
        <f>4.45%</f>
        <v>4.4500000000000005E-2</v>
      </c>
      <c r="D9" s="26" t="s">
        <v>295</v>
      </c>
      <c r="E9" s="12"/>
      <c r="F9" s="12"/>
      <c r="G9" s="12"/>
      <c r="H9" s="12"/>
      <c r="I9" s="12" t="s">
        <v>281</v>
      </c>
      <c r="J9" s="28">
        <v>0.03</v>
      </c>
      <c r="K9" s="12"/>
      <c r="L9" s="12"/>
      <c r="M9" s="12"/>
      <c r="N9" s="12"/>
      <c r="O9" s="12"/>
    </row>
    <row r="10" spans="1:15" x14ac:dyDescent="0.2">
      <c r="B10" s="52" t="s">
        <v>284</v>
      </c>
      <c r="C10" s="54">
        <v>4.4600000000000001E-2</v>
      </c>
      <c r="D10" s="26" t="s">
        <v>296</v>
      </c>
      <c r="E10" s="12"/>
      <c r="F10" s="12"/>
      <c r="G10" s="12"/>
      <c r="H10" s="12"/>
      <c r="I10" s="12" t="s">
        <v>302</v>
      </c>
      <c r="J10" s="40">
        <f>'Income Statement'!O18/'Income Statement'!O8*(1-'DCF Valuation'!C14)</f>
        <v>0.30299599999999999</v>
      </c>
      <c r="K10" s="12"/>
      <c r="L10" s="12"/>
      <c r="M10" s="12"/>
      <c r="N10" s="12"/>
      <c r="O10" s="12"/>
    </row>
    <row r="11" spans="1:15" x14ac:dyDescent="0.2">
      <c r="B11" s="52" t="s">
        <v>282</v>
      </c>
      <c r="C11" s="55">
        <v>1.0900000000000001</v>
      </c>
      <c r="D11" s="26" t="s">
        <v>295</v>
      </c>
      <c r="E11" s="12"/>
      <c r="F11" s="12"/>
      <c r="G11" s="12"/>
      <c r="H11" s="12"/>
      <c r="I11" s="12" t="s">
        <v>303</v>
      </c>
      <c r="J11" s="28">
        <v>3.1E-2</v>
      </c>
      <c r="K11" s="12"/>
      <c r="L11" s="12"/>
      <c r="M11" s="12"/>
      <c r="N11" s="12"/>
      <c r="O11" s="12"/>
    </row>
    <row r="12" spans="1:15" x14ac:dyDescent="0.2">
      <c r="B12" s="52" t="s">
        <v>290</v>
      </c>
      <c r="C12" s="56">
        <f>C9+C10*C11</f>
        <v>9.3114000000000002E-2</v>
      </c>
      <c r="D12" s="26"/>
      <c r="E12" s="12"/>
      <c r="F12" s="12"/>
      <c r="G12" s="12"/>
      <c r="H12" s="12"/>
      <c r="I12" s="12" t="s">
        <v>304</v>
      </c>
      <c r="J12" s="28">
        <v>2.8000000000000001E-2</v>
      </c>
      <c r="K12" s="12"/>
      <c r="L12" s="12"/>
      <c r="M12" s="12"/>
      <c r="N12" s="12"/>
      <c r="O12" s="12"/>
    </row>
    <row r="13" spans="1:15" x14ac:dyDescent="0.2">
      <c r="B13" s="52" t="s">
        <v>291</v>
      </c>
      <c r="C13" s="54">
        <v>4.3999999999999997E-2</v>
      </c>
      <c r="D13" s="26" t="s">
        <v>297</v>
      </c>
      <c r="E13" s="12"/>
      <c r="F13" s="12"/>
      <c r="G13" s="12"/>
      <c r="H13" s="12"/>
      <c r="I13" s="12" t="s">
        <v>305</v>
      </c>
      <c r="J13" s="12"/>
      <c r="K13" s="12"/>
      <c r="L13" s="12"/>
      <c r="M13" s="12"/>
      <c r="N13" s="12"/>
      <c r="O13" s="12"/>
    </row>
    <row r="14" spans="1:15" x14ac:dyDescent="0.2">
      <c r="B14" s="52" t="s">
        <v>279</v>
      </c>
      <c r="C14" s="57">
        <f>Assumptions!G18</f>
        <v>0.156</v>
      </c>
      <c r="D14" s="26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5" x14ac:dyDescent="0.2">
      <c r="B15" s="52" t="s">
        <v>292</v>
      </c>
      <c r="C15" s="58">
        <f>C13*(1-C14)</f>
        <v>3.7135999999999995E-2</v>
      </c>
      <c r="D15" s="26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x14ac:dyDescent="0.2">
      <c r="B16" s="52" t="s">
        <v>293</v>
      </c>
      <c r="C16" s="58">
        <f>Cover!F12*1000/(Cover!F12*1000+Schedules!G53)</f>
        <v>0.97817483738482724</v>
      </c>
      <c r="D16" s="26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2:15" x14ac:dyDescent="0.2">
      <c r="B17" s="52" t="s">
        <v>294</v>
      </c>
      <c r="C17" s="59">
        <f>1-C16</f>
        <v>2.1825162615172755E-2</v>
      </c>
      <c r="D17" s="26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2:15" x14ac:dyDescent="0.2">
      <c r="B18" s="52" t="s">
        <v>278</v>
      </c>
      <c r="C18" s="60">
        <f>C12*C16+C15*C17</f>
        <v>9.1892271047127855E-2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2:15" x14ac:dyDescent="0.2">
      <c r="B19" s="52"/>
      <c r="C19" s="46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2:15" x14ac:dyDescent="0.2">
      <c r="B20" s="61"/>
      <c r="C20" s="61"/>
      <c r="D20" s="62">
        <v>2022</v>
      </c>
      <c r="E20" s="62">
        <f>D20+1</f>
        <v>2023</v>
      </c>
      <c r="F20" s="61">
        <f t="shared" ref="F20:O20" si="0">E20+1</f>
        <v>2024</v>
      </c>
      <c r="G20" s="61">
        <f t="shared" si="0"/>
        <v>2025</v>
      </c>
      <c r="H20" s="61">
        <f t="shared" si="0"/>
        <v>2026</v>
      </c>
      <c r="I20" s="61">
        <f t="shared" si="0"/>
        <v>2027</v>
      </c>
      <c r="J20" s="61">
        <f t="shared" si="0"/>
        <v>2028</v>
      </c>
      <c r="K20" s="61">
        <f t="shared" si="0"/>
        <v>2029</v>
      </c>
      <c r="L20" s="61">
        <f t="shared" si="0"/>
        <v>2030</v>
      </c>
      <c r="M20" s="61">
        <f t="shared" si="0"/>
        <v>2031</v>
      </c>
      <c r="N20" s="61">
        <f t="shared" si="0"/>
        <v>2032</v>
      </c>
      <c r="O20" s="61">
        <f t="shared" si="0"/>
        <v>2033</v>
      </c>
    </row>
    <row r="21" spans="2:15" x14ac:dyDescent="0.2">
      <c r="B21" s="52" t="s">
        <v>271</v>
      </c>
      <c r="C21" s="12"/>
      <c r="D21" s="63">
        <f>'Income Statement'!D8</f>
        <v>394328</v>
      </c>
      <c r="E21" s="63">
        <f>'Income Statement'!E8</f>
        <v>383285</v>
      </c>
      <c r="F21" s="63">
        <f>'Income Statement'!F8</f>
        <v>391035</v>
      </c>
      <c r="G21" s="63">
        <f>'Income Statement'!G8</f>
        <v>416161</v>
      </c>
      <c r="H21" s="63">
        <f>'Income Statement'!H8</f>
        <v>444094.52</v>
      </c>
      <c r="I21" s="63">
        <f>'Income Statement'!I8</f>
        <v>468831.82485000003</v>
      </c>
      <c r="J21" s="63">
        <f>'Income Statement'!J8</f>
        <v>494363.43136125</v>
      </c>
      <c r="K21" s="63">
        <f>'Income Statement'!K8</f>
        <v>519090.03318394499</v>
      </c>
      <c r="L21" s="63">
        <f>'Income Statement'!L8</f>
        <v>543949.11684349261</v>
      </c>
      <c r="M21" s="63">
        <f>'Income Statement'!M8</f>
        <v>567452.31045287731</v>
      </c>
      <c r="N21" s="63">
        <f>'Income Statement'!N8</f>
        <v>592427.11482980987</v>
      </c>
      <c r="O21" s="63">
        <f>'Income Statement'!O8</f>
        <v>616934.4846372226</v>
      </c>
    </row>
    <row r="22" spans="2:15" x14ac:dyDescent="0.2">
      <c r="B22" s="12" t="s">
        <v>201</v>
      </c>
      <c r="C22" s="12"/>
      <c r="D22" s="63">
        <f>'Income Statement'!D18</f>
        <v>119437</v>
      </c>
      <c r="E22" s="63">
        <f>'Income Statement'!E18</f>
        <v>114301</v>
      </c>
      <c r="F22" s="63">
        <f>'Income Statement'!F18</f>
        <v>123216</v>
      </c>
      <c r="G22" s="63">
        <f>'Income Statement'!G18</f>
        <v>133050</v>
      </c>
      <c r="H22" s="63">
        <f>'Income Statement'!H18</f>
        <v>143442.52996000001</v>
      </c>
      <c r="I22" s="63">
        <f>'Income Statement'!I18</f>
        <v>154245.67037564999</v>
      </c>
      <c r="J22" s="63">
        <f>'Income Statement'!J18</f>
        <v>165117.38607465746</v>
      </c>
      <c r="K22" s="63">
        <f>'Income Statement'!K18</f>
        <v>175452.43121617337</v>
      </c>
      <c r="L22" s="63">
        <f>'Income Statement'!L18</f>
        <v>187118.49619416145</v>
      </c>
      <c r="M22" s="63">
        <f>'Income Statement'!M18</f>
        <v>198040.85634805419</v>
      </c>
      <c r="N22" s="63">
        <f>'Income Statement'!N18</f>
        <v>209719.19864975268</v>
      </c>
      <c r="O22" s="63">
        <f>'Income Statement'!O18</f>
        <v>221479.4799847629</v>
      </c>
    </row>
    <row r="23" spans="2:15" x14ac:dyDescent="0.2">
      <c r="B23" s="12" t="s">
        <v>202</v>
      </c>
      <c r="C23" s="12"/>
      <c r="D23" s="63">
        <f>'Income Statement'!D21</f>
        <v>19300</v>
      </c>
      <c r="E23" s="63">
        <f>'Income Statement'!E21</f>
        <v>16741</v>
      </c>
      <c r="F23" s="63">
        <f>'Income Statement'!F21</f>
        <v>29749</v>
      </c>
      <c r="G23" s="63">
        <f>'Income Statement'!G21</f>
        <v>20719</v>
      </c>
      <c r="H23" s="63">
        <f>'Income Statement'!H21</f>
        <v>22893.960695040001</v>
      </c>
      <c r="I23" s="63">
        <f>'Income Statement'!I21</f>
        <v>24619.296786523202</v>
      </c>
      <c r="J23" s="63">
        <f>'Income Statement'!J21</f>
        <v>26355.503252730956</v>
      </c>
      <c r="K23" s="63">
        <f>'Income Statement'!K21</f>
        <v>28005.945470340197</v>
      </c>
      <c r="L23" s="63">
        <f>'Income Statement'!L21</f>
        <v>29869.333904109862</v>
      </c>
      <c r="M23" s="63">
        <f>'Income Statement'!M21</f>
        <v>31613.903119950704</v>
      </c>
      <c r="N23" s="63">
        <f>'Income Statement'!N21</f>
        <v>33479.241113262215</v>
      </c>
      <c r="O23" s="63">
        <f>'Income Statement'!O21</f>
        <v>35357.749183528496</v>
      </c>
    </row>
    <row r="24" spans="2:15" x14ac:dyDescent="0.2">
      <c r="B24" s="64" t="s">
        <v>203</v>
      </c>
      <c r="C24" s="65"/>
      <c r="D24" s="66">
        <f>D22-D23</f>
        <v>100137</v>
      </c>
      <c r="E24" s="66">
        <f t="shared" ref="E24:O24" si="1">E22-E23</f>
        <v>97560</v>
      </c>
      <c r="F24" s="66">
        <f t="shared" si="1"/>
        <v>93467</v>
      </c>
      <c r="G24" s="66">
        <f t="shared" si="1"/>
        <v>112331</v>
      </c>
      <c r="H24" s="66">
        <f t="shared" si="1"/>
        <v>120548.56926496001</v>
      </c>
      <c r="I24" s="66">
        <f t="shared" si="1"/>
        <v>129626.37358912679</v>
      </c>
      <c r="J24" s="66">
        <f t="shared" si="1"/>
        <v>138761.8828219265</v>
      </c>
      <c r="K24" s="66">
        <f t="shared" si="1"/>
        <v>147446.48574583317</v>
      </c>
      <c r="L24" s="66">
        <f t="shared" si="1"/>
        <v>157249.16229005158</v>
      </c>
      <c r="M24" s="66">
        <f t="shared" si="1"/>
        <v>166426.95322810349</v>
      </c>
      <c r="N24" s="66">
        <f t="shared" si="1"/>
        <v>176239.95753649046</v>
      </c>
      <c r="O24" s="66">
        <f t="shared" si="1"/>
        <v>186121.7308012344</v>
      </c>
    </row>
    <row r="25" spans="2:15" x14ac:dyDescent="0.2">
      <c r="B25" s="12" t="s">
        <v>272</v>
      </c>
      <c r="C25" s="12"/>
      <c r="D25" s="63">
        <f>'Income Statement'!D24</f>
        <v>11104</v>
      </c>
      <c r="E25" s="63">
        <f>'Income Statement'!E24</f>
        <v>11519</v>
      </c>
      <c r="F25" s="63">
        <f>'Income Statement'!F24</f>
        <v>11445</v>
      </c>
      <c r="G25" s="63">
        <f>'Income Statement'!G24</f>
        <v>11698</v>
      </c>
      <c r="H25" s="63">
        <f>'Income Statement'!H24</f>
        <v>12434.646560000001</v>
      </c>
      <c r="I25" s="63">
        <f>'Income Statement'!I24</f>
        <v>13127.291095800001</v>
      </c>
      <c r="J25" s="63">
        <f>'Income Statement'!J24</f>
        <v>13842.176078115001</v>
      </c>
      <c r="K25" s="63">
        <f>'Income Statement'!K24</f>
        <v>14534.52092915046</v>
      </c>
      <c r="L25" s="63">
        <f>'Income Statement'!L24</f>
        <v>15230.575271617794</v>
      </c>
      <c r="M25" s="63">
        <f>'Income Statement'!M24</f>
        <v>15888.664692680564</v>
      </c>
      <c r="N25" s="63">
        <f>'Income Statement'!N24</f>
        <v>16587.959215234678</v>
      </c>
      <c r="O25" s="63">
        <f>'Income Statement'!O24</f>
        <v>17274.165569842233</v>
      </c>
    </row>
    <row r="26" spans="2:15" x14ac:dyDescent="0.2">
      <c r="B26" s="12" t="s">
        <v>273</v>
      </c>
      <c r="C26" s="12"/>
      <c r="D26" s="67">
        <f>Schedules!D30</f>
        <v>10708</v>
      </c>
      <c r="E26" s="67">
        <f>Schedules!E30</f>
        <v>10959</v>
      </c>
      <c r="F26" s="67">
        <f>Schedules!F30</f>
        <v>9447</v>
      </c>
      <c r="G26" s="67">
        <f>Schedules!G30</f>
        <v>12715</v>
      </c>
      <c r="H26" s="67">
        <f>Schedules!H30</f>
        <v>13766.930120000001</v>
      </c>
      <c r="I26" s="67">
        <f>Schedules!I30</f>
        <v>14533.786570350001</v>
      </c>
      <c r="J26" s="67">
        <f>Schedules!J30</f>
        <v>15325.26637219875</v>
      </c>
      <c r="K26" s="67">
        <f>Schedules!K30</f>
        <v>16091.791028702295</v>
      </c>
      <c r="L26" s="67">
        <f>Schedules!L30</f>
        <v>16862.422622148271</v>
      </c>
      <c r="M26" s="67">
        <f>Schedules!M30</f>
        <v>17591.021624039196</v>
      </c>
      <c r="N26" s="67">
        <f>Schedules!N30</f>
        <v>18365.240559724105</v>
      </c>
      <c r="O26" s="67">
        <f>Schedules!O30</f>
        <v>19124.9690237539</v>
      </c>
    </row>
    <row r="27" spans="2:15" x14ac:dyDescent="0.2">
      <c r="B27" s="12" t="s">
        <v>274</v>
      </c>
      <c r="C27" s="12"/>
      <c r="D27" s="12"/>
      <c r="E27" s="68">
        <f>Schedules!E16</f>
        <v>-126714</v>
      </c>
      <c r="F27" s="68">
        <f>Schedules!F16</f>
        <v>3899</v>
      </c>
      <c r="G27" s="68">
        <f>Schedules!G16</f>
        <v>-1533.6190485479456</v>
      </c>
      <c r="H27" s="68">
        <f>Schedules!H16</f>
        <v>-625.70200118493085</v>
      </c>
      <c r="I27" s="68">
        <f>Schedules!I16</f>
        <v>-583.0480331823419</v>
      </c>
      <c r="J27" s="68">
        <f>Schedules!J16</f>
        <v>-602.08353778610763</v>
      </c>
      <c r="K27" s="68">
        <f>Schedules!K16</f>
        <v>-221.21682554727158</v>
      </c>
      <c r="L27" s="68">
        <f>Schedules!L16</f>
        <v>-218.07447994262475</v>
      </c>
      <c r="M27" s="68">
        <f>Schedules!M16</f>
        <v>-206.60318634789292</v>
      </c>
      <c r="N27" s="68">
        <f>Schedules!N16</f>
        <v>-98.009365222555061</v>
      </c>
      <c r="O27" s="68">
        <f>Schedules!O16</f>
        <v>-98.009365222555061</v>
      </c>
    </row>
    <row r="28" spans="2:15" ht="17" thickBot="1" x14ac:dyDescent="0.25">
      <c r="B28" s="69" t="s">
        <v>204</v>
      </c>
      <c r="C28" s="70"/>
      <c r="D28" s="71">
        <f>D24+D25-D26-D27</f>
        <v>100533</v>
      </c>
      <c r="E28" s="71">
        <f t="shared" ref="E28:O28" si="2">E24+E25-E26-E27</f>
        <v>224834</v>
      </c>
      <c r="F28" s="71">
        <f t="shared" si="2"/>
        <v>91566</v>
      </c>
      <c r="G28" s="71">
        <f t="shared" si="2"/>
        <v>112847.61904854795</v>
      </c>
      <c r="H28" s="71">
        <f t="shared" si="2"/>
        <v>119841.98770614492</v>
      </c>
      <c r="I28" s="71">
        <f t="shared" si="2"/>
        <v>128802.92614775914</v>
      </c>
      <c r="J28" s="71">
        <f t="shared" si="2"/>
        <v>137880.87606562884</v>
      </c>
      <c r="K28" s="71">
        <f t="shared" si="2"/>
        <v>146110.43247182862</v>
      </c>
      <c r="L28" s="71">
        <f t="shared" si="2"/>
        <v>155835.38941946373</v>
      </c>
      <c r="M28" s="71">
        <f t="shared" si="2"/>
        <v>164931.19948309276</v>
      </c>
      <c r="N28" s="71">
        <f t="shared" si="2"/>
        <v>174560.68555722359</v>
      </c>
      <c r="O28" s="71">
        <f t="shared" si="2"/>
        <v>184368.93671254531</v>
      </c>
    </row>
    <row r="29" spans="2:15" x14ac:dyDescent="0.2">
      <c r="B29" s="12"/>
      <c r="C29" s="12"/>
      <c r="D29" s="39">
        <f>D28/D21</f>
        <v>0.25494765778742567</v>
      </c>
      <c r="E29" s="39">
        <f t="shared" ref="E29:O29" si="3">E28/E21</f>
        <v>0.58659744054685159</v>
      </c>
      <c r="F29" s="39">
        <f t="shared" si="3"/>
        <v>0.2341631823238329</v>
      </c>
      <c r="G29" s="39">
        <f t="shared" si="3"/>
        <v>0.27116336958183956</v>
      </c>
      <c r="H29" s="39">
        <f t="shared" si="3"/>
        <v>0.26985693880245337</v>
      </c>
      <c r="I29" s="39">
        <f t="shared" si="3"/>
        <v>0.27473161871843677</v>
      </c>
      <c r="J29" s="39">
        <f t="shared" si="3"/>
        <v>0.2789058965910326</v>
      </c>
      <c r="K29" s="39">
        <f t="shared" si="3"/>
        <v>0.2814741627297877</v>
      </c>
      <c r="L29" s="39">
        <f t="shared" si="3"/>
        <v>0.286488909704952</v>
      </c>
      <c r="M29" s="39">
        <f t="shared" si="3"/>
        <v>0.29065208907416912</v>
      </c>
      <c r="N29" s="39">
        <f t="shared" si="3"/>
        <v>0.29465343700105745</v>
      </c>
      <c r="O29" s="39">
        <f t="shared" si="3"/>
        <v>0.29884686511074221</v>
      </c>
    </row>
    <row r="30" spans="2:15" x14ac:dyDescent="0.2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2:15" x14ac:dyDescent="0.2">
      <c r="B31" s="13" t="s">
        <v>275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</row>
    <row r="32" spans="2:15" x14ac:dyDescent="0.2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2:15" x14ac:dyDescent="0.2">
      <c r="B33" s="12" t="s">
        <v>306</v>
      </c>
      <c r="C33" s="12"/>
      <c r="D33" s="12"/>
      <c r="E33" s="12"/>
      <c r="F33" s="12"/>
      <c r="G33" s="12"/>
      <c r="H33" s="27">
        <v>0.5</v>
      </c>
      <c r="I33" s="27">
        <v>1.5</v>
      </c>
      <c r="J33" s="27">
        <v>2.5</v>
      </c>
      <c r="K33" s="27">
        <v>3.5</v>
      </c>
      <c r="L33" s="27">
        <v>4.5</v>
      </c>
      <c r="M33" s="27">
        <v>5.5</v>
      </c>
      <c r="N33" s="27">
        <v>6.5</v>
      </c>
      <c r="O33" s="27">
        <v>7.5</v>
      </c>
    </row>
    <row r="34" spans="2:15" x14ac:dyDescent="0.2">
      <c r="B34" s="12" t="s">
        <v>205</v>
      </c>
      <c r="C34" s="12"/>
      <c r="D34" s="12"/>
      <c r="E34" s="12"/>
      <c r="F34" s="12"/>
      <c r="G34" s="12"/>
      <c r="H34" s="72">
        <f>1/(1+$C$18)^H33</f>
        <v>0.95699595931021497</v>
      </c>
      <c r="I34" s="72">
        <f t="shared" ref="I34:O34" si="4">1/(1+$C$18)^I33</f>
        <v>0.87645639106177842</v>
      </c>
      <c r="J34" s="72">
        <f t="shared" si="4"/>
        <v>0.8026949309030772</v>
      </c>
      <c r="K34" s="72">
        <f t="shared" si="4"/>
        <v>0.73514114183928636</v>
      </c>
      <c r="L34" s="72">
        <f t="shared" si="4"/>
        <v>0.67327259413081464</v>
      </c>
      <c r="M34" s="72">
        <f t="shared" si="4"/>
        <v>0.61661082506348741</v>
      </c>
      <c r="N34" s="72">
        <f t="shared" si="4"/>
        <v>0.56471763873935643</v>
      </c>
      <c r="O34" s="72">
        <f t="shared" si="4"/>
        <v>0.51719171727242885</v>
      </c>
    </row>
    <row r="35" spans="2:15" x14ac:dyDescent="0.2">
      <c r="B35" s="12" t="s">
        <v>298</v>
      </c>
      <c r="C35" s="12"/>
      <c r="D35" s="12"/>
      <c r="E35" s="12"/>
      <c r="F35" s="12"/>
      <c r="G35" s="12"/>
      <c r="H35" s="73">
        <f>H28</f>
        <v>119841.98770614492</v>
      </c>
      <c r="I35" s="73">
        <f t="shared" ref="I35:O35" si="5">I28</f>
        <v>128802.92614775914</v>
      </c>
      <c r="J35" s="73">
        <f t="shared" si="5"/>
        <v>137880.87606562884</v>
      </c>
      <c r="K35" s="73">
        <f t="shared" si="5"/>
        <v>146110.43247182862</v>
      </c>
      <c r="L35" s="73">
        <f t="shared" si="5"/>
        <v>155835.38941946373</v>
      </c>
      <c r="M35" s="73">
        <f t="shared" si="5"/>
        <v>164931.19948309276</v>
      </c>
      <c r="N35" s="73">
        <f t="shared" si="5"/>
        <v>174560.68555722359</v>
      </c>
      <c r="O35" s="73">
        <f t="shared" si="5"/>
        <v>184368.93671254531</v>
      </c>
    </row>
    <row r="36" spans="2:15" x14ac:dyDescent="0.2">
      <c r="B36" s="64" t="s">
        <v>206</v>
      </c>
      <c r="C36" s="65"/>
      <c r="D36" s="65"/>
      <c r="E36" s="65"/>
      <c r="F36" s="65"/>
      <c r="G36" s="65"/>
      <c r="H36" s="66">
        <f>H35*H34</f>
        <v>114688.29799048515</v>
      </c>
      <c r="I36" s="66">
        <f t="shared" ref="I36:O36" si="6">I35*I34</f>
        <v>112890.14780966175</v>
      </c>
      <c r="J36" s="66">
        <f t="shared" si="6"/>
        <v>110676.28028635569</v>
      </c>
      <c r="K36" s="66">
        <f t="shared" si="6"/>
        <v>107411.79016197204</v>
      </c>
      <c r="L36" s="66">
        <f t="shared" si="6"/>
        <v>104919.69689182805</v>
      </c>
      <c r="M36" s="66">
        <f t="shared" si="6"/>
        <v>101698.36299198045</v>
      </c>
      <c r="N36" s="66">
        <f t="shared" si="6"/>
        <v>98577.498164598583</v>
      </c>
      <c r="O36" s="66">
        <f t="shared" si="6"/>
        <v>95354.086990053067</v>
      </c>
    </row>
    <row r="37" spans="2:15" x14ac:dyDescent="0.2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2:15" x14ac:dyDescent="0.2">
      <c r="B38" s="13" t="s">
        <v>276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spans="2:15" x14ac:dyDescent="0.2">
      <c r="B39" s="12" t="s">
        <v>280</v>
      </c>
      <c r="C39" s="73">
        <f>O28</f>
        <v>184368.93671254531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2:15" x14ac:dyDescent="0.2">
      <c r="B40" s="12" t="s">
        <v>281</v>
      </c>
      <c r="C40" s="74">
        <f>J9</f>
        <v>0.03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2:15" x14ac:dyDescent="0.2">
      <c r="B41" s="12" t="s">
        <v>278</v>
      </c>
      <c r="C41" s="75">
        <f>C18</f>
        <v>9.1892271047127855E-2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2:15" x14ac:dyDescent="0.2">
      <c r="B42" s="12" t="s">
        <v>207</v>
      </c>
      <c r="C42" s="73">
        <f>C39*(1+J9)/(C18-J9)</f>
        <v>3068234.5566108301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2:15" x14ac:dyDescent="0.2">
      <c r="B43" s="12" t="s">
        <v>208</v>
      </c>
      <c r="C43" s="73">
        <f>C42/(1+C18)^8.5</f>
        <v>1453316.9080923668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2:15" x14ac:dyDescent="0.2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2:15" x14ac:dyDescent="0.2">
      <c r="B45" s="13" t="s">
        <v>277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spans="2:15" x14ac:dyDescent="0.2">
      <c r="B46" s="12" t="s">
        <v>299</v>
      </c>
      <c r="C46" s="73">
        <f>SUM(H36:O36)</f>
        <v>846216.16128693474</v>
      </c>
      <c r="D46" s="12"/>
      <c r="E46" s="73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2:15" x14ac:dyDescent="0.2">
      <c r="B47" s="12" t="s">
        <v>300</v>
      </c>
      <c r="C47" s="73">
        <f>C43</f>
        <v>1453316.9080923668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2:15" x14ac:dyDescent="0.2">
      <c r="B48" s="35" t="s">
        <v>301</v>
      </c>
      <c r="C48" s="76">
        <f>C46+C47</f>
        <v>2299533.0693793017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2:15" x14ac:dyDescent="0.2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2:15" x14ac:dyDescent="0.2">
      <c r="B50" s="12" t="s">
        <v>209</v>
      </c>
      <c r="C50" s="77">
        <f>C48</f>
        <v>2299533.0693793017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2:15" x14ac:dyDescent="0.2">
      <c r="B51" s="12" t="s">
        <v>285</v>
      </c>
      <c r="C51" s="67">
        <f>Schedules!G53</f>
        <v>98657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2:15" x14ac:dyDescent="0.2">
      <c r="B52" s="12" t="s">
        <v>286</v>
      </c>
      <c r="C52" s="67">
        <f>'Balance Sheet'!G7</f>
        <v>35934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2:15" x14ac:dyDescent="0.2">
      <c r="B53" s="12" t="s">
        <v>287</v>
      </c>
      <c r="C53" s="67">
        <f>'Balance Sheet'!G8</f>
        <v>18763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2:15" x14ac:dyDescent="0.2">
      <c r="B54" s="12" t="s">
        <v>288</v>
      </c>
      <c r="C54" s="67">
        <f>'Balance Sheet'!G16</f>
        <v>77723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2:15" x14ac:dyDescent="0.2">
      <c r="B55" s="12" t="s">
        <v>289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2:15" x14ac:dyDescent="0.2">
      <c r="B56" s="12" t="s">
        <v>210</v>
      </c>
      <c r="C56" s="78">
        <f>C50-C51+C52+C53+C54-C55</f>
        <v>2333296.0693793017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2:15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2:15" x14ac:dyDescent="0.2">
      <c r="B58" s="12" t="s">
        <v>211</v>
      </c>
      <c r="C58" s="251">
        <f>'Income Statement'!G35</f>
        <v>15004.697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2:15" x14ac:dyDescent="0.2">
      <c r="B59" s="12" t="s">
        <v>212</v>
      </c>
      <c r="C59" s="79">
        <f>C56/C58</f>
        <v>155.50437768782012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2:15" x14ac:dyDescent="0.2">
      <c r="B60" s="12" t="s">
        <v>27</v>
      </c>
      <c r="C60" s="67">
        <f>Cover!F11</f>
        <v>299.24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2:15" x14ac:dyDescent="0.2">
      <c r="B61" s="12"/>
      <c r="C61" s="40">
        <f>C59/C60-1</f>
        <v>-0.48033559120498559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2:15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2:15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2:15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2:15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2:15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2:15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2:15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2:15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2:15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2:15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2:15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2:15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2:15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2:15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2:15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2:15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2:15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2:15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2:15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2:15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2:15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2:15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2:15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5" spans="2:15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2:15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spans="2:15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2:15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2:15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2:15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spans="2:15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2:15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 spans="2:15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2:15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2:15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2:15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2:15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2:15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2:15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2:15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2:15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2:15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2:15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2:15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2:15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2:15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2:15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2:15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2:15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  <row r="110" spans="2:15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</row>
    <row r="111" spans="2:15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spans="2:15" x14ac:dyDescent="0.2"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8CA7-155B-294B-8034-534B344A6D26}">
  <dimension ref="B2:Q76"/>
  <sheetViews>
    <sheetView showGridLines="0" zoomScale="80" zoomScaleNormal="80" workbookViewId="0">
      <selection activeCell="F37" sqref="F37"/>
    </sheetView>
  </sheetViews>
  <sheetFormatPr baseColWidth="10" defaultRowHeight="16" x14ac:dyDescent="0.2"/>
  <cols>
    <col min="2" max="2" width="35" customWidth="1"/>
    <col min="4" max="4" width="24.1640625" customWidth="1"/>
    <col min="7" max="7" width="12.6640625" bestFit="1" customWidth="1"/>
    <col min="9" max="9" width="10.33203125" customWidth="1"/>
    <col min="10" max="10" width="12.1640625" customWidth="1"/>
    <col min="11" max="11" width="10.6640625" customWidth="1"/>
    <col min="12" max="12" width="13.33203125" customWidth="1"/>
    <col min="13" max="13" width="12.33203125" bestFit="1" customWidth="1"/>
    <col min="14" max="14" width="12.6640625" bestFit="1" customWidth="1"/>
    <col min="15" max="15" width="11.33203125" bestFit="1" customWidth="1"/>
  </cols>
  <sheetData>
    <row r="2" spans="2:17" ht="24" x14ac:dyDescent="0.3">
      <c r="B2" s="11" t="str">
        <f>Cover!F5&amp; " Trading Comparables Analysis"</f>
        <v>Apple Inc. Trading Comparables Analysis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2"/>
    </row>
    <row r="3" spans="2:17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2:17" ht="34" x14ac:dyDescent="0.2">
      <c r="B4" s="19" t="s">
        <v>309</v>
      </c>
      <c r="C4" s="20" t="s">
        <v>15</v>
      </c>
      <c r="D4" s="20" t="s">
        <v>318</v>
      </c>
      <c r="E4" s="20" t="s">
        <v>310</v>
      </c>
      <c r="F4" s="20" t="s">
        <v>311</v>
      </c>
      <c r="G4" s="20" t="s">
        <v>312</v>
      </c>
      <c r="H4" s="20" t="s">
        <v>313</v>
      </c>
      <c r="I4" s="20" t="s">
        <v>314</v>
      </c>
      <c r="J4" s="20" t="s">
        <v>315</v>
      </c>
      <c r="K4" s="20" t="s">
        <v>142</v>
      </c>
      <c r="L4" s="20" t="s">
        <v>322</v>
      </c>
      <c r="M4" s="20" t="s">
        <v>323</v>
      </c>
      <c r="N4" s="20" t="s">
        <v>316</v>
      </c>
      <c r="O4" s="20" t="s">
        <v>321</v>
      </c>
      <c r="P4" s="20" t="s">
        <v>317</v>
      </c>
      <c r="Q4" s="12"/>
    </row>
    <row r="5" spans="2:17" x14ac:dyDescent="0.2">
      <c r="B5" s="21" t="s">
        <v>20</v>
      </c>
      <c r="C5" s="21" t="s">
        <v>16</v>
      </c>
      <c r="D5" s="21" t="s">
        <v>319</v>
      </c>
      <c r="E5" s="238">
        <f>Cover!F12</f>
        <v>4421.67587172</v>
      </c>
      <c r="F5" s="238">
        <f>Cover!F12+(Schedules!G53/1000)-('Balance Sheet'!G7+'Balance Sheet'!H8+'Balance Sheet'!H16)/1000</f>
        <v>4389.8425917200002</v>
      </c>
      <c r="G5" s="235">
        <f>'Income Statement'!G8/1000</f>
        <v>416.161</v>
      </c>
      <c r="H5" s="22">
        <f>('Income Statement'!G8-'Income Statement'!F8)/'Income Statement'!F8</f>
        <v>6.4255117828327393E-2</v>
      </c>
      <c r="I5" s="22">
        <f>'Income Statement'!G11/'Income Statement'!G8</f>
        <v>0.46905164107160452</v>
      </c>
      <c r="J5" s="23">
        <f>'Income Statement'!G18/'Income Statement'!G8</f>
        <v>0.31970799762591884</v>
      </c>
      <c r="K5" s="23">
        <f>'Income Statement'!G22/'Income Statement'!G8</f>
        <v>0.26915064121818238</v>
      </c>
      <c r="L5" s="24">
        <f>F5/G5</f>
        <v>10.548423787236191</v>
      </c>
      <c r="M5" s="24">
        <f>F5/('Income Statement'!G25/1000)</f>
        <v>30.327483569513916</v>
      </c>
      <c r="N5" s="24">
        <f>Cover!F11/'Income Statement'!G31</f>
        <v>40.112600536193028</v>
      </c>
      <c r="O5" s="24">
        <f>F5/('Revenue Build'!H60/1000)</f>
        <v>9.8849285321512177</v>
      </c>
      <c r="P5" s="25">
        <f>Cover!F11/'Income Statement'!H31</f>
        <v>36.352830406843644</v>
      </c>
      <c r="Q5" s="12"/>
    </row>
    <row r="6" spans="2:17" x14ac:dyDescent="0.2">
      <c r="B6" s="12" t="s">
        <v>320</v>
      </c>
      <c r="C6" s="12" t="s">
        <v>329</v>
      </c>
      <c r="D6" s="26" t="s">
        <v>330</v>
      </c>
      <c r="E6" s="239">
        <v>3280</v>
      </c>
      <c r="F6" s="239">
        <v>3260</v>
      </c>
      <c r="G6" s="236">
        <v>318.27</v>
      </c>
      <c r="H6" s="28">
        <v>0.183</v>
      </c>
      <c r="I6" s="29">
        <v>0.68300000000000005</v>
      </c>
      <c r="J6" s="28">
        <v>0.46329999999999999</v>
      </c>
      <c r="K6" s="28">
        <v>0.39340000000000003</v>
      </c>
      <c r="L6" s="30">
        <v>10.23</v>
      </c>
      <c r="M6" s="30">
        <v>16.38</v>
      </c>
      <c r="N6" s="30">
        <v>26.28</v>
      </c>
      <c r="O6" s="30">
        <v>8.66</v>
      </c>
      <c r="P6" s="30">
        <v>22.73</v>
      </c>
      <c r="Q6" s="12"/>
    </row>
    <row r="7" spans="2:17" x14ac:dyDescent="0.2">
      <c r="B7" s="12" t="s">
        <v>324</v>
      </c>
      <c r="C7" s="12" t="s">
        <v>331</v>
      </c>
      <c r="D7" s="26" t="s">
        <v>330</v>
      </c>
      <c r="E7" s="239">
        <v>4370</v>
      </c>
      <c r="F7" s="239">
        <v>4330</v>
      </c>
      <c r="G7" s="236">
        <v>422.5</v>
      </c>
      <c r="H7" s="28">
        <v>0.218</v>
      </c>
      <c r="I7" s="32">
        <v>0.60370000000000001</v>
      </c>
      <c r="J7" s="28">
        <v>0.38119999999999998</v>
      </c>
      <c r="K7" s="28">
        <v>0.37919999999999998</v>
      </c>
      <c r="L7" s="33">
        <v>10.25</v>
      </c>
      <c r="M7" s="33">
        <v>19.78</v>
      </c>
      <c r="N7" s="33">
        <v>27.34</v>
      </c>
      <c r="O7" s="33">
        <v>8.41</v>
      </c>
      <c r="P7" s="33">
        <v>25.38</v>
      </c>
      <c r="Q7" s="12"/>
    </row>
    <row r="8" spans="2:17" x14ac:dyDescent="0.2">
      <c r="B8" s="12" t="s">
        <v>332</v>
      </c>
      <c r="C8" s="12" t="s">
        <v>333</v>
      </c>
      <c r="D8" s="26" t="s">
        <v>330</v>
      </c>
      <c r="E8" s="239">
        <v>1500</v>
      </c>
      <c r="F8" s="239">
        <v>1530</v>
      </c>
      <c r="G8" s="236">
        <v>214.96</v>
      </c>
      <c r="H8" s="28">
        <v>0.33100000000000002</v>
      </c>
      <c r="I8" s="32">
        <v>0.81899999999999995</v>
      </c>
      <c r="J8" s="28">
        <v>0.40620000000000001</v>
      </c>
      <c r="K8" s="28">
        <v>0.32840000000000003</v>
      </c>
      <c r="L8" s="33">
        <v>7.12</v>
      </c>
      <c r="M8" s="33">
        <v>13.72</v>
      </c>
      <c r="N8" s="33">
        <v>21.84</v>
      </c>
      <c r="O8" s="33">
        <v>5.35</v>
      </c>
      <c r="P8" s="33">
        <v>19.079999999999998</v>
      </c>
      <c r="Q8" s="12"/>
    </row>
    <row r="9" spans="2:17" x14ac:dyDescent="0.2">
      <c r="B9" s="12" t="s">
        <v>325</v>
      </c>
      <c r="C9" s="12" t="s">
        <v>334</v>
      </c>
      <c r="D9" s="26" t="s">
        <v>330</v>
      </c>
      <c r="E9" s="239">
        <v>2760</v>
      </c>
      <c r="F9" s="239">
        <v>2830</v>
      </c>
      <c r="G9" s="236">
        <v>742.78</v>
      </c>
      <c r="H9" s="34">
        <v>0.16600000000000001</v>
      </c>
      <c r="I9" s="29">
        <v>0.50600000000000001</v>
      </c>
      <c r="J9" s="34">
        <v>0.13139999999999999</v>
      </c>
      <c r="K9" s="34">
        <v>0.1222</v>
      </c>
      <c r="L9" s="33">
        <v>3.92</v>
      </c>
      <c r="M9" s="33">
        <v>15.43</v>
      </c>
      <c r="N9" s="33">
        <v>31.6</v>
      </c>
      <c r="O9" s="33">
        <v>3.27</v>
      </c>
      <c r="P9" s="33">
        <v>31.15</v>
      </c>
      <c r="Q9" s="12"/>
    </row>
    <row r="10" spans="2:17" x14ac:dyDescent="0.2">
      <c r="B10" s="12" t="s">
        <v>327</v>
      </c>
      <c r="C10" s="12" t="s">
        <v>335</v>
      </c>
      <c r="D10" s="26" t="s">
        <v>337</v>
      </c>
      <c r="E10" s="239">
        <v>1490</v>
      </c>
      <c r="F10" s="239">
        <v>1410</v>
      </c>
      <c r="G10" s="237">
        <v>281.39999999999998</v>
      </c>
      <c r="H10" s="34">
        <v>0.69199999999999995</v>
      </c>
      <c r="I10" s="29">
        <v>0.47699999999999998</v>
      </c>
      <c r="J10" s="34">
        <v>0.42749999999999999</v>
      </c>
      <c r="K10" s="34">
        <v>0.21460000000000001</v>
      </c>
      <c r="L10" s="33">
        <v>3.17</v>
      </c>
      <c r="M10" s="33">
        <v>12.01</v>
      </c>
      <c r="N10" s="33">
        <v>19.52</v>
      </c>
      <c r="O10" s="33">
        <v>3.13</v>
      </c>
      <c r="P10" s="33">
        <v>4.72</v>
      </c>
      <c r="Q10" s="14" t="s">
        <v>336</v>
      </c>
    </row>
    <row r="11" spans="2:17" x14ac:dyDescent="0.2">
      <c r="B11" s="12" t="s">
        <v>328</v>
      </c>
      <c r="C11" s="12" t="s">
        <v>338</v>
      </c>
      <c r="D11" s="26" t="s">
        <v>330</v>
      </c>
      <c r="E11" s="239">
        <v>1339</v>
      </c>
      <c r="F11" s="239">
        <v>1304</v>
      </c>
      <c r="G11" s="236">
        <v>86.7</v>
      </c>
      <c r="H11" s="34">
        <v>0.154</v>
      </c>
      <c r="I11" s="29">
        <v>0.33889999999999998</v>
      </c>
      <c r="J11" s="34">
        <v>7.5499999999999998E-2</v>
      </c>
      <c r="K11" s="34">
        <v>-2.6200000000000001E-2</v>
      </c>
      <c r="L11" s="33">
        <v>1.67</v>
      </c>
      <c r="M11" s="33">
        <v>7.7</v>
      </c>
      <c r="N11" s="33">
        <v>20.67</v>
      </c>
      <c r="O11" s="33">
        <v>11.23</v>
      </c>
      <c r="P11" s="33">
        <v>17.04</v>
      </c>
      <c r="Q11" s="12"/>
    </row>
    <row r="12" spans="2:17" x14ac:dyDescent="0.2">
      <c r="B12" s="12" t="s">
        <v>326</v>
      </c>
      <c r="C12" s="12" t="s">
        <v>344</v>
      </c>
      <c r="D12" s="26" t="s">
        <v>330</v>
      </c>
      <c r="E12" s="239">
        <v>3800</v>
      </c>
      <c r="F12" s="239">
        <v>3784</v>
      </c>
      <c r="G12" s="236">
        <v>253.49</v>
      </c>
      <c r="H12" s="29">
        <v>0.85199999999999998</v>
      </c>
      <c r="I12" s="29">
        <v>0.74099999999999999</v>
      </c>
      <c r="J12" s="34">
        <v>0.65600000000000003</v>
      </c>
      <c r="K12" s="34">
        <v>0.62970000000000004</v>
      </c>
      <c r="L12" s="33">
        <v>21.02</v>
      </c>
      <c r="M12" s="33">
        <v>27.61</v>
      </c>
      <c r="N12" s="33">
        <v>34.119999999999997</v>
      </c>
      <c r="O12" s="33">
        <v>11.6</v>
      </c>
      <c r="P12" s="33">
        <v>25.45</v>
      </c>
      <c r="Q12" s="12"/>
    </row>
    <row r="13" spans="2:17" x14ac:dyDescent="0.2">
      <c r="B13" s="12"/>
      <c r="C13" s="12"/>
      <c r="D13" s="12"/>
      <c r="E13" s="27"/>
      <c r="F13" s="27"/>
      <c r="G13" s="27"/>
      <c r="H13" s="27"/>
      <c r="I13" s="34"/>
      <c r="J13" s="27"/>
      <c r="K13" s="27"/>
      <c r="L13" s="33"/>
      <c r="M13" s="33"/>
      <c r="N13" s="33"/>
      <c r="O13" s="33"/>
      <c r="P13" s="33"/>
      <c r="Q13" s="12"/>
    </row>
    <row r="14" spans="2:17" x14ac:dyDescent="0.2">
      <c r="B14" s="35" t="s">
        <v>339</v>
      </c>
      <c r="C14" s="12"/>
      <c r="D14" s="12"/>
      <c r="E14" s="12"/>
      <c r="F14" s="12"/>
      <c r="G14" s="12"/>
      <c r="H14" s="12"/>
      <c r="I14" s="36"/>
      <c r="J14" s="37"/>
      <c r="K14" s="12"/>
      <c r="L14" s="38">
        <f>MIN(L6:L12)</f>
        <v>1.67</v>
      </c>
      <c r="M14" s="38">
        <f>MIN(M6:M12)</f>
        <v>7.7</v>
      </c>
      <c r="N14" s="38">
        <f>MIN(N6:N12)</f>
        <v>19.52</v>
      </c>
      <c r="O14" s="38">
        <f>MIN(O6:O12)</f>
        <v>3.13</v>
      </c>
      <c r="P14" s="38">
        <f>MIN(P6:P12)</f>
        <v>4.72</v>
      </c>
      <c r="Q14" s="12"/>
    </row>
    <row r="15" spans="2:17" x14ac:dyDescent="0.2">
      <c r="B15" s="35" t="s">
        <v>340</v>
      </c>
      <c r="C15" s="12"/>
      <c r="D15" s="12"/>
      <c r="E15" s="12"/>
      <c r="F15" s="12"/>
      <c r="G15" s="12"/>
      <c r="H15" s="39"/>
      <c r="I15" s="40"/>
      <c r="J15" s="36"/>
      <c r="K15" s="36"/>
      <c r="L15" s="41">
        <f>PERCENTILE(L6:L12,0.25)</f>
        <v>3.5449999999999999</v>
      </c>
      <c r="M15" s="41">
        <f t="shared" ref="M15:P15" si="0">PERCENTILE(M6:M12,0.25)</f>
        <v>12.865</v>
      </c>
      <c r="N15" s="41">
        <f t="shared" si="0"/>
        <v>21.255000000000003</v>
      </c>
      <c r="O15" s="41">
        <f t="shared" si="0"/>
        <v>4.3099999999999996</v>
      </c>
      <c r="P15" s="41">
        <f t="shared" si="0"/>
        <v>18.059999999999999</v>
      </c>
      <c r="Q15" s="12"/>
    </row>
    <row r="16" spans="2:17" x14ac:dyDescent="0.2">
      <c r="B16" s="35" t="s">
        <v>341</v>
      </c>
      <c r="C16" s="12"/>
      <c r="D16" s="12"/>
      <c r="E16" s="12"/>
      <c r="F16" s="12"/>
      <c r="G16" s="12"/>
      <c r="H16" s="12"/>
      <c r="I16" s="12"/>
      <c r="J16" s="37"/>
      <c r="K16" s="38"/>
      <c r="L16" s="38">
        <f t="shared" ref="L16:P16" si="1">MEDIAN(L6:L12)</f>
        <v>7.12</v>
      </c>
      <c r="M16" s="38">
        <f t="shared" si="1"/>
        <v>15.43</v>
      </c>
      <c r="N16" s="38">
        <f t="shared" si="1"/>
        <v>26.28</v>
      </c>
      <c r="O16" s="38">
        <f t="shared" si="1"/>
        <v>8.41</v>
      </c>
      <c r="P16" s="38">
        <f t="shared" si="1"/>
        <v>22.73</v>
      </c>
      <c r="Q16" s="12"/>
    </row>
    <row r="17" spans="2:17" x14ac:dyDescent="0.2">
      <c r="B17" s="35" t="s">
        <v>342</v>
      </c>
      <c r="C17" s="12"/>
      <c r="D17" s="12"/>
      <c r="E17" s="12"/>
      <c r="F17" s="12"/>
      <c r="G17" s="12"/>
      <c r="H17" s="12"/>
      <c r="I17" s="12"/>
      <c r="J17" s="12"/>
      <c r="K17" s="12"/>
      <c r="L17" s="42">
        <f>PERCENTILE(L6:L12,0.75)</f>
        <v>10.24</v>
      </c>
      <c r="M17" s="42">
        <f t="shared" ref="M17:P17" si="2">PERCENTILE(M6:M12,0.75)</f>
        <v>18.079999999999998</v>
      </c>
      <c r="N17" s="42">
        <f t="shared" si="2"/>
        <v>29.47</v>
      </c>
      <c r="O17" s="38">
        <f t="shared" si="2"/>
        <v>9.9450000000000003</v>
      </c>
      <c r="P17" s="38">
        <f t="shared" si="2"/>
        <v>25.414999999999999</v>
      </c>
      <c r="Q17" s="12"/>
    </row>
    <row r="18" spans="2:17" x14ac:dyDescent="0.2">
      <c r="B18" s="35" t="s">
        <v>343</v>
      </c>
      <c r="C18" s="12"/>
      <c r="D18" s="12"/>
      <c r="E18" s="12"/>
      <c r="F18" s="12"/>
      <c r="G18" s="12"/>
      <c r="H18" s="12"/>
      <c r="I18" s="12"/>
      <c r="J18" s="37"/>
      <c r="K18" s="38"/>
      <c r="L18" s="38">
        <f t="shared" ref="L18:P18" si="3">AVERAGE(L6:L12)</f>
        <v>8.1971428571428593</v>
      </c>
      <c r="M18" s="38">
        <f t="shared" si="3"/>
        <v>16.09</v>
      </c>
      <c r="N18" s="38">
        <f t="shared" si="3"/>
        <v>25.91</v>
      </c>
      <c r="O18" s="38">
        <f t="shared" si="3"/>
        <v>7.3785714285714281</v>
      </c>
      <c r="P18" s="38">
        <f t="shared" si="3"/>
        <v>20.792857142857141</v>
      </c>
      <c r="Q18" s="12"/>
    </row>
    <row r="19" spans="2:17" x14ac:dyDescent="0.2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2:17" x14ac:dyDescent="0.2">
      <c r="B20" s="16" t="s">
        <v>348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2"/>
    </row>
    <row r="21" spans="2:17" ht="16" customHeight="1" x14ac:dyDescent="0.2">
      <c r="B21" s="43" t="s">
        <v>352</v>
      </c>
      <c r="C21" s="43"/>
      <c r="D21" s="44"/>
      <c r="E21" s="44"/>
      <c r="F21" s="44"/>
      <c r="G21" s="44"/>
      <c r="H21" s="44"/>
      <c r="I21" s="44"/>
      <c r="J21" s="44"/>
      <c r="K21" s="44"/>
      <c r="L21" s="45" t="s">
        <v>356</v>
      </c>
      <c r="M21" s="45" t="s">
        <v>357</v>
      </c>
      <c r="N21" s="45" t="s">
        <v>346</v>
      </c>
      <c r="O21" s="45" t="s">
        <v>345</v>
      </c>
      <c r="P21" s="45" t="s">
        <v>347</v>
      </c>
      <c r="Q21" s="12"/>
    </row>
    <row r="22" spans="2:17" x14ac:dyDescent="0.2">
      <c r="B22" s="12" t="s">
        <v>349</v>
      </c>
      <c r="C22" s="12"/>
      <c r="D22" s="12"/>
      <c r="E22" s="12"/>
      <c r="F22" s="12"/>
      <c r="G22" s="12"/>
      <c r="H22" s="12"/>
      <c r="I22" s="12"/>
      <c r="J22" s="12"/>
      <c r="K22" s="12"/>
      <c r="L22" s="46">
        <f>('Income Statement'!G8*L15-Schedules!G53+'Balance Sheet'!G7+'Balance Sheet'!G8+'Balance Sheet'!G16)/('Income Statement'!G35)</f>
        <v>100.57209052605327</v>
      </c>
      <c r="M22" s="46">
        <f>('Income Statement'!G25*M15-Schedules!G53+'Balance Sheet'!G7+'Balance Sheet'!G8+'Balance Sheet'!G16)/('Income Statement'!G35)</f>
        <v>126.35683479646407</v>
      </c>
      <c r="N22" s="46">
        <f>'Income Statement'!G31*N15</f>
        <v>158.56230000000002</v>
      </c>
      <c r="O22" s="46">
        <f>('Revenue Build'!H60*O15-Schedules!G53+'Balance Sheet'!G7+'Balance Sheet'!G8+'Balance Sheet'!G16)/('Income Statement'!G35)</f>
        <v>129.81337651803298</v>
      </c>
      <c r="P22" s="46">
        <f>'Income Statement'!H31*P15</f>
        <v>148.66172288424102</v>
      </c>
      <c r="Q22" s="12"/>
    </row>
    <row r="23" spans="2:17" x14ac:dyDescent="0.2">
      <c r="B23" s="35" t="s">
        <v>351</v>
      </c>
      <c r="C23" s="12"/>
      <c r="D23" s="12"/>
      <c r="E23" s="12"/>
      <c r="F23" s="12"/>
      <c r="G23" s="12"/>
      <c r="H23" s="12"/>
      <c r="I23" s="12"/>
      <c r="J23" s="12"/>
      <c r="K23" s="12"/>
      <c r="L23" s="46">
        <f>('Income Statement'!G8*L16-Schedules!G53+'Balance Sheet'!G7+'Balance Sheet'!G8+'Balance Sheet'!G16)/('Income Statement'!G35)</f>
        <v>199.72608044001154</v>
      </c>
      <c r="M23" s="46">
        <f>('Income Statement'!G25*M16-Schedules!G53+'Balance Sheet'!G7+'Balance Sheet'!G8+'Balance Sheet'!G16)/('Income Statement'!G35)</f>
        <v>151.10099457523202</v>
      </c>
      <c r="N23" s="46">
        <f>'Income Statement'!G31*N16</f>
        <v>196.0488</v>
      </c>
      <c r="O23" s="46">
        <f>('Revenue Build'!H60*O16-Schedules!G53+'Balance Sheet'!G7+'Balance Sheet'!G8+'Balance Sheet'!G16)/('Income Statement'!G35)</f>
        <v>251.16121393187748</v>
      </c>
      <c r="P23" s="46">
        <f>'Income Statement'!H31*P16</f>
        <v>187.10304325353258</v>
      </c>
      <c r="Q23" s="12"/>
    </row>
    <row r="24" spans="2:17" x14ac:dyDescent="0.2">
      <c r="B24" s="12" t="s">
        <v>350</v>
      </c>
      <c r="C24" s="12"/>
      <c r="D24" s="12"/>
      <c r="E24" s="12"/>
      <c r="F24" s="12"/>
      <c r="G24" s="12"/>
      <c r="H24" s="12"/>
      <c r="I24" s="12"/>
      <c r="J24" s="12"/>
      <c r="K24" s="12"/>
      <c r="L24" s="46">
        <f>('Income Statement'!G8*'Trading Comps'!L17-Schedules!G53+'Balance Sheet'!G7+'Balance Sheet'!G8+'Balance Sheet'!G16)/('Income Statement'!G35)</f>
        <v>286.26047163764787</v>
      </c>
      <c r="M24" s="46">
        <f>('Income Statement'!$G$25*'Trading Comps'!M17-Schedules!$G$53+'Balance Sheet'!$G$7+'Balance Sheet'!$G$8+'Balance Sheet'!$G$16)/('Income Statement'!$G$35)</f>
        <v>176.66513625700006</v>
      </c>
      <c r="N24" s="46">
        <f>'Income Statement'!G31*'Trading Comps'!N17</f>
        <v>219.84619999999998</v>
      </c>
      <c r="O24" s="46">
        <f>('Revenue Build'!H60*O17-Schedules!G53+'Balance Sheet'!G7+'Balance Sheet'!G8+'Balance Sheet'!G16)/('Income Statement'!G35)</f>
        <v>296.59266037828024</v>
      </c>
      <c r="P24" s="46">
        <f>'Income Statement'!H31*'Trading Comps'!P17</f>
        <v>209.2047445793458</v>
      </c>
      <c r="Q24" s="12"/>
    </row>
    <row r="25" spans="2:17" x14ac:dyDescent="0.2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2:17" x14ac:dyDescent="0.2">
      <c r="B26" s="47" t="s">
        <v>353</v>
      </c>
      <c r="C26" s="12"/>
      <c r="D26" s="12"/>
      <c r="E26" s="12"/>
      <c r="F26" s="12"/>
      <c r="G26" s="12"/>
      <c r="H26" s="12"/>
      <c r="I26" s="12"/>
      <c r="J26" s="12"/>
      <c r="K26" s="12"/>
      <c r="L26" s="48">
        <f>Cover!$F$11</f>
        <v>299.24</v>
      </c>
      <c r="M26" s="48">
        <f>Cover!$F$11</f>
        <v>299.24</v>
      </c>
      <c r="N26" s="48">
        <f>Cover!$F$11</f>
        <v>299.24</v>
      </c>
      <c r="O26" s="48">
        <f>Cover!$F$11</f>
        <v>299.24</v>
      </c>
      <c r="P26" s="48">
        <f>Cover!$F$11</f>
        <v>299.24</v>
      </c>
      <c r="Q26" s="12"/>
    </row>
    <row r="27" spans="2:17" x14ac:dyDescent="0.2">
      <c r="B27" s="35" t="s">
        <v>354</v>
      </c>
      <c r="C27" s="12"/>
      <c r="D27" s="12"/>
      <c r="E27" s="12"/>
      <c r="F27" s="12"/>
      <c r="G27" s="12"/>
      <c r="H27" s="12"/>
      <c r="I27" s="12"/>
      <c r="J27" s="12"/>
      <c r="K27" s="12"/>
      <c r="L27" s="39">
        <f>L23/Cover!$F$11-1</f>
        <v>-0.33255553923268433</v>
      </c>
      <c r="M27" s="39">
        <f>M23/Cover!$F$11-1</f>
        <v>-0.49505081347670088</v>
      </c>
      <c r="N27" s="39">
        <f>N23/Cover!$F$11-1</f>
        <v>-0.34484427215612889</v>
      </c>
      <c r="O27" s="39">
        <f>O23/Cover!$F$11-1</f>
        <v>-0.1606696500070931</v>
      </c>
      <c r="P27" s="39">
        <f>P23/Cover!$F$11-1</f>
        <v>-0.37473919511585163</v>
      </c>
      <c r="Q27" s="12"/>
    </row>
    <row r="28" spans="2:17" x14ac:dyDescent="0.2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2:17" x14ac:dyDescent="0.2">
      <c r="B29" s="49" t="s">
        <v>355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2:17" x14ac:dyDescent="0.2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2:17" x14ac:dyDescent="0.2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2:17" x14ac:dyDescent="0.2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2:17" x14ac:dyDescent="0.2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2:17" x14ac:dyDescent="0.2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2:17" x14ac:dyDescent="0.2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2:17" x14ac:dyDescent="0.2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2:17" x14ac:dyDescent="0.2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2:17" x14ac:dyDescent="0.2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2:17" x14ac:dyDescent="0.2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2:17" x14ac:dyDescent="0.2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2:17" x14ac:dyDescent="0.2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2:17" x14ac:dyDescent="0.2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2:17" x14ac:dyDescent="0.2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2:17" x14ac:dyDescent="0.2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2:17" x14ac:dyDescent="0.2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2:17" x14ac:dyDescent="0.2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2:17" x14ac:dyDescent="0.2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2:17" x14ac:dyDescent="0.2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2:17" x14ac:dyDescent="0.2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2:17" x14ac:dyDescent="0.2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2:17" x14ac:dyDescent="0.2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2:17" x14ac:dyDescent="0.2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2:17" x14ac:dyDescent="0.2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D17C-D2E5-D242-8874-029F23516744}">
  <dimension ref="A1:O30"/>
  <sheetViews>
    <sheetView showGridLines="0" topLeftCell="B1" workbookViewId="0">
      <selection activeCell="B19" sqref="B19:K23"/>
    </sheetView>
  </sheetViews>
  <sheetFormatPr baseColWidth="10" defaultRowHeight="16" x14ac:dyDescent="0.2"/>
  <cols>
    <col min="1" max="1" width="8.33203125" customWidth="1"/>
    <col min="2" max="2" width="35" customWidth="1"/>
    <col min="3" max="3" width="16.1640625" customWidth="1"/>
    <col min="10" max="10" width="9.83203125" customWidth="1"/>
    <col min="11" max="11" width="12" customWidth="1"/>
  </cols>
  <sheetData>
    <row r="1" spans="1:15" x14ac:dyDescent="0.2">
      <c r="A1" s="12"/>
    </row>
    <row r="2" spans="1:15" x14ac:dyDescent="0.2">
      <c r="B2" s="16" t="str">
        <f>Cover!F5&amp;" Precedent Transactions"</f>
        <v>Apple Inc. Precedent Transactions</v>
      </c>
      <c r="C2" s="97"/>
      <c r="D2" s="97"/>
      <c r="E2" s="97"/>
      <c r="F2" s="97"/>
      <c r="G2" s="97"/>
      <c r="H2" s="97"/>
      <c r="I2" s="97"/>
      <c r="J2" s="97"/>
      <c r="K2" s="97"/>
      <c r="L2" s="230"/>
      <c r="M2" s="230"/>
      <c r="N2" s="230"/>
      <c r="O2" s="230"/>
    </row>
    <row r="3" spans="1:15" ht="28" customHeight="1" x14ac:dyDescent="0.2">
      <c r="B3" s="232" t="s">
        <v>412</v>
      </c>
      <c r="C3" s="232" t="s">
        <v>413</v>
      </c>
      <c r="D3" s="232" t="s">
        <v>414</v>
      </c>
      <c r="E3" s="232" t="s">
        <v>415</v>
      </c>
      <c r="F3" s="232" t="s">
        <v>426</v>
      </c>
      <c r="G3" s="232" t="s">
        <v>427</v>
      </c>
      <c r="H3" s="232" t="s">
        <v>416</v>
      </c>
      <c r="I3" s="232" t="s">
        <v>417</v>
      </c>
      <c r="J3" s="232" t="s">
        <v>418</v>
      </c>
      <c r="K3" s="232" t="s">
        <v>419</v>
      </c>
    </row>
    <row r="4" spans="1:15" x14ac:dyDescent="0.2">
      <c r="B4" s="12" t="s">
        <v>320</v>
      </c>
      <c r="C4" s="12" t="s">
        <v>424</v>
      </c>
      <c r="D4" s="243">
        <v>2022</v>
      </c>
      <c r="E4" s="244">
        <v>68.7</v>
      </c>
      <c r="F4" s="244">
        <v>8.8000000000000007</v>
      </c>
      <c r="G4" s="244">
        <v>3.375</v>
      </c>
      <c r="H4" s="245">
        <f t="shared" ref="H4:H11" si="0">E4/F4</f>
        <v>7.8068181818181817</v>
      </c>
      <c r="I4" s="246">
        <f>E4/G4</f>
        <v>20.355555555555558</v>
      </c>
      <c r="J4" s="242">
        <f>(95/65) - 1</f>
        <v>0.46153846153846145</v>
      </c>
      <c r="K4" s="243" t="s">
        <v>425</v>
      </c>
    </row>
    <row r="5" spans="1:15" x14ac:dyDescent="0.2">
      <c r="B5" s="12" t="s">
        <v>320</v>
      </c>
      <c r="C5" s="12" t="s">
        <v>449</v>
      </c>
      <c r="D5" s="243">
        <v>2016</v>
      </c>
      <c r="E5" s="244">
        <v>26.4</v>
      </c>
      <c r="F5" s="244">
        <v>2.99</v>
      </c>
      <c r="G5" s="244">
        <v>2.6953</v>
      </c>
      <c r="H5" s="245">
        <f t="shared" si="0"/>
        <v>8.8294314381270897</v>
      </c>
      <c r="I5" s="247">
        <f>E5/G5</f>
        <v>9.7948280339850839</v>
      </c>
      <c r="J5" s="248">
        <f>(196/131.08)-1</f>
        <v>0.49527006408300256</v>
      </c>
      <c r="K5" s="243" t="s">
        <v>425</v>
      </c>
    </row>
    <row r="6" spans="1:15" x14ac:dyDescent="0.2">
      <c r="B6" s="12" t="s">
        <v>428</v>
      </c>
      <c r="C6" s="12" t="s">
        <v>429</v>
      </c>
      <c r="D6" s="243">
        <v>2021</v>
      </c>
      <c r="E6" s="244">
        <v>27.7</v>
      </c>
      <c r="F6" s="244">
        <v>0.90300000000000002</v>
      </c>
      <c r="G6" s="244" t="s">
        <v>450</v>
      </c>
      <c r="H6" s="245">
        <f t="shared" si="0"/>
        <v>30.675526024363233</v>
      </c>
      <c r="I6" s="247" t="s">
        <v>450</v>
      </c>
      <c r="J6" s="242">
        <f>(45.86/29.58)-1</f>
        <v>0.55037187288708589</v>
      </c>
      <c r="K6" s="243" t="s">
        <v>451</v>
      </c>
    </row>
    <row r="7" spans="1:15" x14ac:dyDescent="0.2">
      <c r="B7" s="12" t="s">
        <v>430</v>
      </c>
      <c r="C7" s="12" t="s">
        <v>431</v>
      </c>
      <c r="D7" s="243">
        <v>2021</v>
      </c>
      <c r="E7" s="244">
        <v>8.4499999999999993</v>
      </c>
      <c r="F7" s="244">
        <v>9.68</v>
      </c>
      <c r="G7" s="244">
        <v>3.43</v>
      </c>
      <c r="H7" s="245">
        <f t="shared" si="0"/>
        <v>0.87293388429752061</v>
      </c>
      <c r="I7" s="245">
        <f>E7/G7</f>
        <v>2.463556851311953</v>
      </c>
      <c r="J7" s="242" t="s">
        <v>450</v>
      </c>
      <c r="K7" s="243" t="s">
        <v>425</v>
      </c>
    </row>
    <row r="8" spans="1:15" x14ac:dyDescent="0.2">
      <c r="B8" s="12" t="s">
        <v>432</v>
      </c>
      <c r="C8" s="12" t="s">
        <v>433</v>
      </c>
      <c r="D8" s="243">
        <v>2019</v>
      </c>
      <c r="E8" s="244">
        <v>71.3</v>
      </c>
      <c r="F8" s="244">
        <v>30.4</v>
      </c>
      <c r="G8" s="244">
        <v>7.55</v>
      </c>
      <c r="H8" s="245">
        <f t="shared" si="0"/>
        <v>2.3453947368421053</v>
      </c>
      <c r="I8" s="247">
        <f>E8/G8</f>
        <v>9.443708609271523</v>
      </c>
      <c r="J8" s="242">
        <f>(38/28)-1</f>
        <v>0.35714285714285721</v>
      </c>
      <c r="K8" s="243" t="s">
        <v>451</v>
      </c>
    </row>
    <row r="9" spans="1:15" x14ac:dyDescent="0.2">
      <c r="B9" s="12" t="s">
        <v>434</v>
      </c>
      <c r="C9" s="12" t="s">
        <v>435</v>
      </c>
      <c r="D9" s="243">
        <v>2016</v>
      </c>
      <c r="E9" s="244">
        <v>67</v>
      </c>
      <c r="F9" s="244">
        <v>24.7</v>
      </c>
      <c r="G9" s="244">
        <v>4.7</v>
      </c>
      <c r="H9" s="245">
        <f t="shared" si="0"/>
        <v>2.7125506072874495</v>
      </c>
      <c r="I9" s="247">
        <f>E9/G9</f>
        <v>14.25531914893617</v>
      </c>
      <c r="J9" s="242">
        <f>(33.15/27.72)-1</f>
        <v>0.19588744588744578</v>
      </c>
      <c r="K9" s="243" t="s">
        <v>451</v>
      </c>
    </row>
    <row r="10" spans="1:15" x14ac:dyDescent="0.2">
      <c r="B10" s="12" t="s">
        <v>436</v>
      </c>
      <c r="C10" s="12" t="s">
        <v>437</v>
      </c>
      <c r="D10" s="243">
        <v>2023</v>
      </c>
      <c r="E10" s="244">
        <v>69</v>
      </c>
      <c r="F10" s="249">
        <v>13.4</v>
      </c>
      <c r="G10" s="244">
        <v>3.26</v>
      </c>
      <c r="H10" s="245">
        <f t="shared" si="0"/>
        <v>5.1492537313432836</v>
      </c>
      <c r="I10" s="247">
        <f>E10/G10</f>
        <v>21.165644171779142</v>
      </c>
      <c r="J10" s="242">
        <f>(142.5/95.58)-1</f>
        <v>0.49089767733835532</v>
      </c>
      <c r="K10" s="243" t="s">
        <v>451</v>
      </c>
    </row>
    <row r="11" spans="1:15" x14ac:dyDescent="0.2">
      <c r="B11" s="12" t="s">
        <v>438</v>
      </c>
      <c r="C11" s="12" t="s">
        <v>439</v>
      </c>
      <c r="D11" s="243">
        <v>2019</v>
      </c>
      <c r="E11" s="244">
        <v>34</v>
      </c>
      <c r="F11" s="244">
        <v>3.36</v>
      </c>
      <c r="G11" s="244">
        <v>0.62</v>
      </c>
      <c r="H11" s="245">
        <f t="shared" si="0"/>
        <v>10.119047619047619</v>
      </c>
      <c r="I11" s="247">
        <f>E11/G11</f>
        <v>54.838709677419352</v>
      </c>
      <c r="J11" s="242">
        <f>(190/116.68)-1</f>
        <v>0.62838532739115527</v>
      </c>
      <c r="K11" s="243" t="s">
        <v>425</v>
      </c>
    </row>
    <row r="12" spans="1:15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5" x14ac:dyDescent="0.2">
      <c r="B13" s="17" t="s">
        <v>440</v>
      </c>
      <c r="C13" s="17"/>
      <c r="D13" s="17"/>
      <c r="E13" s="17"/>
      <c r="F13" s="17"/>
      <c r="G13" s="17"/>
      <c r="H13" s="17"/>
      <c r="I13" s="17"/>
      <c r="J13" s="17"/>
      <c r="K13" s="17"/>
    </row>
    <row r="14" spans="1:15" x14ac:dyDescent="0.2">
      <c r="B14" s="12" t="s">
        <v>441</v>
      </c>
      <c r="C14" s="12"/>
      <c r="D14" s="12"/>
      <c r="E14" s="12"/>
      <c r="F14" s="12"/>
      <c r="G14" s="12"/>
      <c r="H14" s="231">
        <f>MIN(H4:H11)</f>
        <v>0.87293388429752061</v>
      </c>
      <c r="I14" s="231">
        <f>MIN(I4:I11)</f>
        <v>2.463556851311953</v>
      </c>
      <c r="J14" s="12"/>
      <c r="K14" s="12"/>
    </row>
    <row r="15" spans="1:15" x14ac:dyDescent="0.2">
      <c r="B15" s="12" t="s">
        <v>442</v>
      </c>
      <c r="C15" s="12"/>
      <c r="D15" s="12"/>
      <c r="E15" s="12"/>
      <c r="F15" s="12"/>
      <c r="G15" s="12"/>
      <c r="H15" s="231">
        <f>MEDIAN(H4:H11)</f>
        <v>6.4780359565807331</v>
      </c>
      <c r="I15" s="231">
        <f>MEDIAN(I4:I11)</f>
        <v>14.25531914893617</v>
      </c>
      <c r="J15" s="12"/>
      <c r="K15" s="12"/>
    </row>
    <row r="16" spans="1:15" x14ac:dyDescent="0.2">
      <c r="B16" s="12" t="s">
        <v>443</v>
      </c>
      <c r="C16" s="12"/>
      <c r="D16" s="12"/>
      <c r="E16" s="12"/>
      <c r="F16" s="12"/>
      <c r="G16" s="12"/>
      <c r="H16" s="46">
        <f>AVERAGEA(H4:H11)</f>
        <v>8.5638695278908106</v>
      </c>
      <c r="I16" s="46">
        <f>AVERAGEA(I4:I11)</f>
        <v>16.53966525603235</v>
      </c>
      <c r="J16" s="12"/>
      <c r="K16" s="12"/>
    </row>
    <row r="17" spans="2:11" x14ac:dyDescent="0.2">
      <c r="B17" s="12" t="s">
        <v>444</v>
      </c>
      <c r="C17" s="12"/>
      <c r="D17" s="12"/>
      <c r="E17" s="12"/>
      <c r="F17" s="12"/>
      <c r="G17" s="12"/>
      <c r="H17" s="231">
        <f>MAX(H4:H11)</f>
        <v>30.675526024363233</v>
      </c>
      <c r="I17" s="231">
        <f>MAX(I4:I11)</f>
        <v>54.838709677419352</v>
      </c>
      <c r="J17" s="12"/>
      <c r="K17" s="12"/>
    </row>
    <row r="18" spans="2:11" x14ac:dyDescent="0.2"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2:11" x14ac:dyDescent="0.2">
      <c r="B19" s="16" t="s">
        <v>445</v>
      </c>
      <c r="C19" s="16"/>
      <c r="D19" s="16"/>
      <c r="E19" s="16"/>
      <c r="F19" s="16"/>
      <c r="G19" s="16"/>
      <c r="H19" s="16"/>
      <c r="I19" s="16"/>
      <c r="J19" s="16"/>
      <c r="K19" s="16"/>
    </row>
    <row r="20" spans="2:11" x14ac:dyDescent="0.2">
      <c r="B20" s="284" t="s">
        <v>446</v>
      </c>
      <c r="C20" s="284"/>
      <c r="D20" s="284"/>
      <c r="E20" s="284"/>
      <c r="F20" s="284"/>
      <c r="G20" s="284"/>
      <c r="H20" s="284"/>
      <c r="I20" s="284"/>
      <c r="J20" s="284"/>
      <c r="K20" s="284"/>
    </row>
    <row r="21" spans="2:11" x14ac:dyDescent="0.2">
      <c r="B21" s="35" t="s">
        <v>447</v>
      </c>
      <c r="C21" s="35"/>
      <c r="D21" s="233">
        <f>('Income Statement'!G8*H15-'DCF Valuation'!C51+'DCF Valuation'!C52+'DCF Valuation'!C53+'DCF Valuation'!C54)/'Income Statement'!G35</f>
        <v>181.92096259768488</v>
      </c>
      <c r="E21" s="12"/>
      <c r="F21" s="12"/>
      <c r="G21" s="12"/>
      <c r="H21" s="12"/>
      <c r="I21" s="12"/>
      <c r="J21" s="12"/>
      <c r="K21" s="12"/>
    </row>
    <row r="22" spans="2:11" x14ac:dyDescent="0.2">
      <c r="B22" s="35" t="s">
        <v>448</v>
      </c>
      <c r="C22" s="35"/>
      <c r="D22" s="241">
        <f>('Income Statement'!G25*I15-'DCF Valuation'!C51+'DCF Valuation'!C52+'DCF Valuation'!C53+'DCF Valuation'!C54)/'Income Statement'!G35</f>
        <v>139.76902940260726</v>
      </c>
      <c r="E22" s="12"/>
      <c r="F22" s="12"/>
      <c r="G22" s="12"/>
      <c r="H22" s="12"/>
      <c r="I22" s="12"/>
      <c r="J22" s="12"/>
      <c r="K22" s="12"/>
    </row>
    <row r="23" spans="2:11" x14ac:dyDescent="0.2">
      <c r="B23" s="12" t="s">
        <v>27</v>
      </c>
      <c r="C23" s="12"/>
      <c r="D23" s="234">
        <f>Cover!F11</f>
        <v>299.24</v>
      </c>
      <c r="E23" s="12"/>
      <c r="F23" s="12"/>
      <c r="G23" s="12"/>
      <c r="H23" s="12"/>
      <c r="I23" s="12"/>
      <c r="J23" s="12"/>
      <c r="K23" s="12"/>
    </row>
    <row r="24" spans="2:11" x14ac:dyDescent="0.2"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2:11" x14ac:dyDescent="0.2"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2:11" x14ac:dyDescent="0.2"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2:11" x14ac:dyDescent="0.2"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2:11" x14ac:dyDescent="0.2">
      <c r="B28" s="12"/>
      <c r="C28" s="12"/>
      <c r="D28" s="12"/>
      <c r="E28" s="254"/>
      <c r="F28" s="12"/>
      <c r="G28" s="12"/>
      <c r="H28" s="12"/>
      <c r="I28" s="12"/>
      <c r="J28" s="12"/>
      <c r="K28" s="12"/>
    </row>
    <row r="29" spans="2:11" x14ac:dyDescent="0.2"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2:11" x14ac:dyDescent="0.2">
      <c r="B30" s="12"/>
      <c r="C30" s="12"/>
      <c r="D30" s="12"/>
      <c r="E30" s="12"/>
      <c r="F30" s="12"/>
      <c r="G30" s="12"/>
      <c r="H30" s="12"/>
      <c r="I30" s="12"/>
      <c r="J30" s="12"/>
      <c r="K30" s="12"/>
    </row>
  </sheetData>
  <mergeCells count="1">
    <mergeCell ref="B20:K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A1A2-0A88-1949-ADD9-974DE8849ACB}">
  <dimension ref="B2:K47"/>
  <sheetViews>
    <sheetView showGridLines="0" zoomScale="80" zoomScaleNormal="80" workbookViewId="0">
      <selection activeCell="C7" sqref="C7"/>
    </sheetView>
  </sheetViews>
  <sheetFormatPr baseColWidth="10" defaultRowHeight="16" x14ac:dyDescent="0.2"/>
  <cols>
    <col min="1" max="1" width="4.5" customWidth="1"/>
    <col min="2" max="2" width="25.5" customWidth="1"/>
    <col min="5" max="5" width="14.1640625" customWidth="1"/>
    <col min="7" max="7" width="11.6640625" bestFit="1" customWidth="1"/>
  </cols>
  <sheetData>
    <row r="2" spans="2:11" ht="21" x14ac:dyDescent="0.25">
      <c r="B2" s="267" t="str">
        <f>Cover!F5&amp;" Sensitivity Analysis"</f>
        <v>Apple Inc. Sensitivity Analysis</v>
      </c>
      <c r="C2" s="257"/>
      <c r="D2" s="257"/>
      <c r="E2" s="257"/>
      <c r="F2" s="257"/>
      <c r="G2" s="257"/>
      <c r="H2" s="257"/>
      <c r="I2" s="257"/>
      <c r="J2" s="257"/>
    </row>
    <row r="3" spans="2:11" x14ac:dyDescent="0.2">
      <c r="B3" s="12"/>
      <c r="C3" s="12"/>
      <c r="D3" s="12"/>
      <c r="E3" s="12"/>
      <c r="F3" s="12"/>
      <c r="G3" s="12"/>
      <c r="H3" s="12"/>
      <c r="I3" s="12"/>
      <c r="J3" s="12"/>
    </row>
    <row r="4" spans="2:11" x14ac:dyDescent="0.2">
      <c r="B4" s="12" t="s">
        <v>278</v>
      </c>
      <c r="C4" s="75">
        <f>'DCF Valuation'!C18</f>
        <v>9.1892271047127855E-2</v>
      </c>
      <c r="D4" s="12"/>
      <c r="E4" s="268" t="s">
        <v>461</v>
      </c>
      <c r="F4" s="269">
        <f>'Revenue Build'!G63</f>
        <v>0.26229752427546071</v>
      </c>
      <c r="G4" s="12"/>
      <c r="H4" s="268" t="s">
        <v>459</v>
      </c>
      <c r="I4" s="270">
        <f>'Precedent Transactions'!H15</f>
        <v>6.4780359565807331</v>
      </c>
      <c r="J4" s="12"/>
    </row>
    <row r="5" spans="2:11" x14ac:dyDescent="0.2">
      <c r="B5" s="12" t="s">
        <v>458</v>
      </c>
      <c r="C5" s="75">
        <f>'DCF Valuation'!J9</f>
        <v>0.03</v>
      </c>
      <c r="D5" s="12"/>
      <c r="E5" s="268" t="s">
        <v>402</v>
      </c>
      <c r="F5" s="271">
        <f>'Income Statement'!G25/'Income Statement'!G8</f>
        <v>0.34781731108873731</v>
      </c>
      <c r="G5" s="12"/>
      <c r="H5" s="268" t="s">
        <v>460</v>
      </c>
      <c r="I5" s="270">
        <f>'Precedent Transactions'!I15</f>
        <v>14.25531914893617</v>
      </c>
      <c r="J5" s="277"/>
      <c r="K5" s="253"/>
    </row>
    <row r="6" spans="2:11" x14ac:dyDescent="0.2">
      <c r="B6" s="12"/>
      <c r="C6" s="12"/>
      <c r="D6" s="12"/>
      <c r="E6" s="12"/>
      <c r="F6" s="12"/>
      <c r="G6" s="12"/>
      <c r="H6" s="12"/>
      <c r="I6" s="12"/>
      <c r="J6" s="12"/>
    </row>
    <row r="7" spans="2:11" x14ac:dyDescent="0.2">
      <c r="B7" s="12" t="s">
        <v>212</v>
      </c>
      <c r="C7" s="272">
        <f>'DCF Valuation'!C59</f>
        <v>155.50437768782012</v>
      </c>
      <c r="D7" s="12"/>
      <c r="E7" s="12"/>
      <c r="F7" s="12"/>
      <c r="G7" s="12"/>
      <c r="H7" s="12"/>
      <c r="I7" s="12"/>
      <c r="J7" s="12"/>
    </row>
    <row r="8" spans="2:11" x14ac:dyDescent="0.2">
      <c r="B8" s="12"/>
      <c r="C8" s="12"/>
      <c r="D8" s="12"/>
      <c r="E8" s="12"/>
      <c r="F8" s="12"/>
      <c r="G8" s="12"/>
      <c r="H8" s="12"/>
      <c r="I8" s="12"/>
      <c r="J8" s="12"/>
    </row>
    <row r="9" spans="2:11" x14ac:dyDescent="0.2">
      <c r="B9" s="257" t="s">
        <v>454</v>
      </c>
      <c r="C9" s="261"/>
      <c r="D9" s="261"/>
      <c r="E9" s="261"/>
      <c r="F9" s="261"/>
      <c r="G9" s="261"/>
      <c r="H9" s="261"/>
      <c r="I9" s="261"/>
      <c r="J9" s="261"/>
    </row>
    <row r="10" spans="2:11" x14ac:dyDescent="0.2">
      <c r="B10" s="273" t="s">
        <v>452</v>
      </c>
      <c r="C10" s="262">
        <f>C7</f>
        <v>155.50437768782012</v>
      </c>
      <c r="D10" s="263">
        <f>E10-0.005</f>
        <v>7.489999999999998E-2</v>
      </c>
      <c r="E10" s="263">
        <f>F10-0.005</f>
        <v>7.9899999999999985E-2</v>
      </c>
      <c r="F10" s="263">
        <f>G10-0.007</f>
        <v>8.4899999999999989E-2</v>
      </c>
      <c r="G10" s="264">
        <v>9.1899999999999996E-2</v>
      </c>
      <c r="H10" s="263">
        <f>G10+0.0026</f>
        <v>9.4500000000000001E-2</v>
      </c>
      <c r="I10" s="263">
        <f>H10+0.005</f>
        <v>9.9500000000000005E-2</v>
      </c>
      <c r="J10" s="263">
        <f>I10+0.005</f>
        <v>0.10450000000000001</v>
      </c>
    </row>
    <row r="11" spans="2:11" x14ac:dyDescent="0.2">
      <c r="B11" s="274"/>
      <c r="C11" s="263">
        <f>C12-0.005</f>
        <v>1.4999999999999996E-2</v>
      </c>
      <c r="D11" s="255">
        <f>IFERROR(IF($C11&gt;=D$10,"N/M",('DCF Valuation'!H35/(1+D$10)^'DCF Valuation'!H33+'DCF Valuation'!I35/(1+D$10)^'DCF Valuation'!I33+'DCF Valuation'!J35/(1+D$10)^'DCF Valuation'!J33+'DCF Valuation'!K35/(1+D$10)^'DCF Valuation'!K33+'DCF Valuation'!L35/(1+D$10)^'DCF Valuation'!L33+'DCF Valuation'!M35/(1+D$10)^'DCF Valuation'!M33+'DCF Valuation'!N35/(1+D$10)^'DCF Valuation'!N33+'DCF Valuation'!O35/(1+D$10)^'DCF Valuation'!O33+('DCF Valuation'!C39*(1+$C11)/(D$10-$C11))/(1+D$10)^8.5+'DCF Valuation'!C52+'DCF Valuation'!C53+'DCF Valuation'!C54-'DCF Valuation'!C51)/'DCF Valuation'!C58),"N/M")</f>
        <v>174.8918944785577</v>
      </c>
      <c r="E11" s="255">
        <f>IFERROR(IF($C11&gt;=E$10,"N/M",('DCF Valuation'!H35/(1+E$10)^'DCF Valuation'!H33+'DCF Valuation'!I35/(1+E$10)^'DCF Valuation'!I33+'DCF Valuation'!J35/(1+E$10)^'DCF Valuation'!J33+'DCF Valuation'!K35/(1+E$10)^'DCF Valuation'!K33+'DCF Valuation'!L35/(1+E$10)^'DCF Valuation'!L33+'DCF Valuation'!M35/(1+E$10)^'DCF Valuation'!M33+'DCF Valuation'!N35/(1+E$10)^'DCF Valuation'!N33+'DCF Valuation'!O35/(1+E$10)^'DCF Valuation'!O33+('DCF Valuation'!C39*(1+$C11)/(E$10-$C11))/(1+E$10)^8.5+'DCF Valuation'!C52+'DCF Valuation'!C53+'DCF Valuation'!C54-'DCF Valuation'!C51)/'DCF Valuation'!C58),"N/M")</f>
        <v>161.10396417012751</v>
      </c>
      <c r="F11" s="255">
        <f>IFERROR(IF($C11&gt;=F$10,"N/M",('DCF Valuation'!H35/(1+F$10)^'DCF Valuation'!H33+'DCF Valuation'!I35/(1+F$10)^'DCF Valuation'!I33+'DCF Valuation'!J35/(1+F$10)^'DCF Valuation'!J33+'DCF Valuation'!K35/(1+F$10)^'DCF Valuation'!K33+'DCF Valuation'!L35/(1+F$10)^'DCF Valuation'!L33+'DCF Valuation'!M35/(1+F$10)^'DCF Valuation'!M33+'DCF Valuation'!N35/(1+F$10)^'DCF Valuation'!N33+'DCF Valuation'!O35/(1+F$10)^'DCF Valuation'!O33+('DCF Valuation'!C39*(1+$C11)/(F$10-$C11))/(1+F$10)^8.5+'DCF Valuation'!C52+'DCF Valuation'!C53+'DCF Valuation'!C54-'DCF Valuation'!C51)/'DCF Valuation'!C58),"N/M")</f>
        <v>149.32517343646163</v>
      </c>
      <c r="G11" s="255">
        <f>IFERROR(IF($C11&gt;=G$10,"N/M",('DCF Valuation'!H35/(1+G$10)^'DCF Valuation'!H33+'DCF Valuation'!I35/(1+G$10)^'DCF Valuation'!I33+'DCF Valuation'!J35/(1+G$10)^'DCF Valuation'!J33+'DCF Valuation'!K35/(1+G$10)^'DCF Valuation'!K33+'DCF Valuation'!L35/(1+G$10)^'DCF Valuation'!L33+'DCF Valuation'!M35/(1+G$10)^'DCF Valuation'!M33+'DCF Valuation'!N35/(1+G$10)^'DCF Valuation'!N33+'DCF Valuation'!O35/(1+G$10)^'DCF Valuation'!O33+('DCF Valuation'!C39*(1+$C11)/(G$10-$C11))/(1+G$10)^8.5+'DCF Valuation'!C52+'DCF Valuation'!C53+'DCF Valuation'!C54-'DCF Valuation'!C51)/'DCF Valuation'!C58),"N/M")</f>
        <v>135.4603416255508</v>
      </c>
      <c r="H11" s="255">
        <f>IFERROR(IF($C11&gt;=H$10,"N/M",('DCF Valuation'!H35/(1+H$10)^'DCF Valuation'!H33+'DCF Valuation'!I35/(1+H$10)^'DCF Valuation'!I33+'DCF Valuation'!J35/(1+H$10)^'DCF Valuation'!J33+'DCF Valuation'!K35/(1+H$10)^'DCF Valuation'!K33+'DCF Valuation'!L35/(1+H$10)^'DCF Valuation'!L33+'DCF Valuation'!M35/(1+H$10)^'DCF Valuation'!M33+'DCF Valuation'!N35/(1+H$10)^'DCF Valuation'!N33+'DCF Valuation'!O35/(1+H$10)^'DCF Valuation'!O33+('DCF Valuation'!C39*(1+$C11)/(H$10-$C11))/(1+H$10)^8.5+'DCF Valuation'!C52+'DCF Valuation'!C53+'DCF Valuation'!C54-'DCF Valuation'!C51)/'DCF Valuation'!C58),"N/M")</f>
        <v>130.94655770609947</v>
      </c>
      <c r="I11" s="255">
        <f>IFERROR(IF($C11&gt;=I$10,"N/M",('DCF Valuation'!H35/(1+I$10)^'DCF Valuation'!H33+'DCF Valuation'!I35/(1+I$10)^'DCF Valuation'!I33+'DCF Valuation'!J35/(1+I$10)^'DCF Valuation'!J33+'DCF Valuation'!K35/(1+I$10)^'DCF Valuation'!K33+'DCF Valuation'!L35/(1+I$10)^'DCF Valuation'!L33+'DCF Valuation'!M35/(1+I$10)^'DCF Valuation'!M33+'DCF Valuation'!N35/(1+I$10)^'DCF Valuation'!N33+'DCF Valuation'!O35/(1+I$10)^'DCF Valuation'!O33+('DCF Valuation'!C39*(1+$C11)/(I$10-$C11))/(1+I$10)^8.5+'DCF Valuation'!C52+'DCF Valuation'!C53+'DCF Valuation'!C54-'DCF Valuation'!C51)/'DCF Valuation'!C58),"N/M")</f>
        <v>123.06603079317389</v>
      </c>
      <c r="J11" s="255">
        <f>IFERROR(IF($C11&gt;=J$10,"N/M",('DCF Valuation'!H35/(1+J$10)^'DCF Valuation'!H33+'DCF Valuation'!I35/(1+J$10)^'DCF Valuation'!I33+'DCF Valuation'!J35/(1+J$10)^'DCF Valuation'!J33+'DCF Valuation'!K35/(1+J$10)^'DCF Valuation'!K33+'DCF Valuation'!L35/(1+J$10)^'DCF Valuation'!L33+'DCF Valuation'!M35/(1+J$10)^'DCF Valuation'!M33+'DCF Valuation'!N35/(1+J$10)^'DCF Valuation'!N33+'DCF Valuation'!O35/(1+J$10)^'DCF Valuation'!O33+('DCF Valuation'!C39*(1+$C11)/(J$10-$C11))/(1+J$10)^8.5+'DCF Valuation'!C52+'DCF Valuation'!C53+'DCF Valuation'!C54-'DCF Valuation'!C51)/'DCF Valuation'!C58),"N/M")</f>
        <v>116.08858076363377</v>
      </c>
    </row>
    <row r="12" spans="2:11" x14ac:dyDescent="0.2">
      <c r="B12" s="274"/>
      <c r="C12" s="263">
        <f>C13-0.005</f>
        <v>1.9999999999999997E-2</v>
      </c>
      <c r="D12" s="255">
        <f>IFERROR(IF($C12&gt;=D$10,"N/M",('DCF Valuation'!H35/(1+D$10)^'DCF Valuation'!H33+'DCF Valuation'!I35/(1+D$10)^'DCF Valuation'!I33+'DCF Valuation'!J35/(1+D$10)^'DCF Valuation'!J33+'DCF Valuation'!K35/(1+D$10)^'DCF Valuation'!K33+'DCF Valuation'!L35/(1+D$10)^'DCF Valuation'!L33+'DCF Valuation'!M35/(1+D$10)^'DCF Valuation'!M33+'DCF Valuation'!N35/(1+D$10)^'DCF Valuation'!N33+'DCF Valuation'!O35/(1+D$10)^'DCF Valuation'!O33+('DCF Valuation'!C39*(1+$C12)/(D$10-$C12))/(1+D$10)^8.5+'DCF Valuation'!C52+'DCF Valuation'!C53+'DCF Valuation'!C54-'DCF Valuation'!C51)/'DCF Valuation'!C58),"N/M")</f>
        <v>185.76042644480751</v>
      </c>
      <c r="E12" s="255">
        <f>IFERROR(IF($C12&gt;=E$10,"N/M",('DCF Valuation'!H35/(1+E$10)^'DCF Valuation'!H33+'DCF Valuation'!I35/(1+E$10)^'DCF Valuation'!I33+'DCF Valuation'!J35/(1+E$10)^'DCF Valuation'!J33+'DCF Valuation'!K35/(1+E$10)^'DCF Valuation'!K33+'DCF Valuation'!L35/(1+E$10)^'DCF Valuation'!L33+'DCF Valuation'!M35/(1+E$10)^'DCF Valuation'!M33+'DCF Valuation'!N35/(1+E$10)^'DCF Valuation'!N33+'DCF Valuation'!O35/(1+E$10)^'DCF Valuation'!O33+('DCF Valuation'!C39*(1+$C12)/(E$10-$C12))/(1+E$10)^8.5+'DCF Valuation'!C52+'DCF Valuation'!C53+'DCF Valuation'!C54-'DCF Valuation'!C51)/'DCF Valuation'!C58),"N/M")</f>
        <v>169.98334018702192</v>
      </c>
      <c r="F12" s="255">
        <f>IFERROR(IF($C12&gt;=F$10,"N/M",('DCF Valuation'!H35/(1+F$10)^'DCF Valuation'!H33+'DCF Valuation'!I35/(1+F$10)^'DCF Valuation'!I33+'DCF Valuation'!J35/(1+F$10)^'DCF Valuation'!J33+'DCF Valuation'!K35/(1+F$10)^'DCF Valuation'!K33+'DCF Valuation'!L35/(1+F$10)^'DCF Valuation'!L33+'DCF Valuation'!M35/(1+F$10)^'DCF Valuation'!M33+'DCF Valuation'!N35/(1+F$10)^'DCF Valuation'!N33+'DCF Valuation'!O35/(1+F$10)^'DCF Valuation'!O33+('DCF Valuation'!C39*(1+$C12)/(F$10-$C12))/(1+F$10)^8.5+'DCF Valuation'!C52+'DCF Valuation'!C53+'DCF Valuation'!C54-'DCF Valuation'!C51)/'DCF Valuation'!C58),"N/M")</f>
        <v>156.67514796435759</v>
      </c>
      <c r="G12" s="255">
        <f>IFERROR(IF($C12&gt;=G$10,"N/M",('DCF Valuation'!H35/(1+G$10)^'DCF Valuation'!H33+'DCF Valuation'!I35/(1+G$10)^'DCF Valuation'!I33+'DCF Valuation'!J35/(1+G$10)^'DCF Valuation'!J33+'DCF Valuation'!K35/(1+G$10)^'DCF Valuation'!K33+'DCF Valuation'!L35/(1+G$10)^'DCF Valuation'!L33+'DCF Valuation'!M35/(1+G$10)^'DCF Valuation'!M33+'DCF Valuation'!N35/(1+G$10)^'DCF Valuation'!N33+'DCF Valuation'!O35/(1+G$10)^'DCF Valuation'!O33+('DCF Valuation'!C39*(1+$C12)/(G$10-$C12))/(1+G$10)^8.5+'DCF Valuation'!C52+'DCF Valuation'!C53+'DCF Valuation'!C54-'DCF Valuation'!C51)/'DCF Valuation'!C58),"N/M")</f>
        <v>141.20684677771428</v>
      </c>
      <c r="H12" s="255">
        <f>IFERROR(IF($C12&gt;=H$10,"N/M",('DCF Valuation'!H35/(1+H$10)^'DCF Valuation'!H33+'DCF Valuation'!I35/(1+H$10)^'DCF Valuation'!I33+'DCF Valuation'!J35/(1+H$10)^'DCF Valuation'!J33+'DCF Valuation'!K35/(1+H$10)^'DCF Valuation'!K33+'DCF Valuation'!L35/(1+H$10)^'DCF Valuation'!L33+'DCF Valuation'!M35/(1+H$10)^'DCF Valuation'!M33+'DCF Valuation'!N35/(1+H$10)^'DCF Valuation'!N33+'DCF Valuation'!O35/(1+H$10)^'DCF Valuation'!O33+('DCF Valuation'!C39*(1+$C12)/(H$10-$C12))/(1+H$10)^8.5+'DCF Valuation'!C52+'DCF Valuation'!C53+'DCF Valuation'!C54-'DCF Valuation'!C51)/'DCF Valuation'!C58),"N/M")</f>
        <v>136.21629396220706</v>
      </c>
      <c r="I12" s="255">
        <f>IFERROR(IF($C12&gt;=I$10,"N/M",('DCF Valuation'!H35/(1+I$10)^'DCF Valuation'!H33+'DCF Valuation'!I35/(1+I$10)^'DCF Valuation'!I33+'DCF Valuation'!J35/(1+I$10)^'DCF Valuation'!J33+'DCF Valuation'!K35/(1+I$10)^'DCF Valuation'!K33+'DCF Valuation'!L35/(1+I$10)^'DCF Valuation'!L33+'DCF Valuation'!M35/(1+I$10)^'DCF Valuation'!M33+'DCF Valuation'!N35/(1+I$10)^'DCF Valuation'!N33+'DCF Valuation'!O35/(1+I$10)^'DCF Valuation'!O33+('DCF Valuation'!C39*(1+$C12)/(I$10-$C12))/(1+I$10)^8.5+'DCF Valuation'!C52+'DCF Valuation'!C53+'DCF Valuation'!C54-'DCF Valuation'!C51)/'DCF Valuation'!C58),"N/M")</f>
        <v>127.55599041276723</v>
      </c>
      <c r="J12" s="255">
        <f>IFERROR(IF($C12&gt;=J$10,"N/M",('DCF Valuation'!H35/(1+J$10)^'DCF Valuation'!H33+'DCF Valuation'!I35/(1+J$10)^'DCF Valuation'!I33+'DCF Valuation'!J35/(1+J$10)^'DCF Valuation'!J33+'DCF Valuation'!K35/(1+J$10)^'DCF Valuation'!K33+'DCF Valuation'!L35/(1+J$10)^'DCF Valuation'!L33+'DCF Valuation'!M35/(1+J$10)^'DCF Valuation'!M33+'DCF Valuation'!N35/(1+J$10)^'DCF Valuation'!N33+'DCF Valuation'!O35/(1+J$10)^'DCF Valuation'!O33+('DCF Valuation'!C39*(1+$C12)/(J$10-$C12))/(1+J$10)^8.5+'DCF Valuation'!C52+'DCF Valuation'!C53+'DCF Valuation'!C54-'DCF Valuation'!C51)/'DCF Valuation'!C58),"N/M")</f>
        <v>119.94343428096069</v>
      </c>
    </row>
    <row r="13" spans="2:11" x14ac:dyDescent="0.2">
      <c r="B13" s="274"/>
      <c r="C13" s="263">
        <f>C14-0.005</f>
        <v>2.4999999999999998E-2</v>
      </c>
      <c r="D13" s="255">
        <f>IFERROR(IF($C13&gt;=D$10,"N/M",('DCF Valuation'!H35/(1+D$10)^'DCF Valuation'!H33+'DCF Valuation'!I35/(1+D$10)^'DCF Valuation'!I33+'DCF Valuation'!J35/(1+D$10)^'DCF Valuation'!J33+'DCF Valuation'!K35/(1+D$10)^'DCF Valuation'!K33+'DCF Valuation'!L35/(1+D$10)^'DCF Valuation'!L33+'DCF Valuation'!M35/(1+D$10)^'DCF Valuation'!M33+'DCF Valuation'!N35/(1+D$10)^'DCF Valuation'!N33+'DCF Valuation'!O35/(1+D$10)^'DCF Valuation'!O33+('DCF Valuation'!C39*(1+$C13)/(D$10-$C13))/(1+D$10)^8.5+'DCF Valuation'!C52+'DCF Valuation'!C53+'DCF Valuation'!C54-'DCF Valuation'!C51)/'DCF Valuation'!C58),"N/M")</f>
        <v>198.80702092934391</v>
      </c>
      <c r="E13" s="255">
        <f>IFERROR(IF($C13&gt;=E$10,"N/M",('DCF Valuation'!H35/(1+E$10)^'DCF Valuation'!H33+'DCF Valuation'!I35/(1+E$10)^'DCF Valuation'!I33+'DCF Valuation'!J35/(1+E$10)^'DCF Valuation'!J33+'DCF Valuation'!K35/(1+E$10)^'DCF Valuation'!K33+'DCF Valuation'!L35/(1+E$10)^'DCF Valuation'!L33+'DCF Valuation'!M35/(1+E$10)^'DCF Valuation'!M33+'DCF Valuation'!N35/(1+E$10)^'DCF Valuation'!N33+'DCF Valuation'!O35/(1+E$10)^'DCF Valuation'!O33+('DCF Valuation'!C39*(1+$C13)/(E$10-$C13))/(1+E$10)^8.5+'DCF Valuation'!C52+'DCF Valuation'!C53+'DCF Valuation'!C54-'DCF Valuation'!C51)/'DCF Valuation'!C58),"N/M")</f>
        <v>180.48008888458929</v>
      </c>
      <c r="F13" s="255">
        <f>IFERROR(IF($C13&gt;=F$10,"N/M",('DCF Valuation'!H35/(1+F$10)^'DCF Valuation'!H33+'DCF Valuation'!I35/(1+F$10)^'DCF Valuation'!I33+'DCF Valuation'!J35/(1+F$10)^'DCF Valuation'!J33+'DCF Valuation'!K35/(1+F$10)^'DCF Valuation'!K33+'DCF Valuation'!L35/(1+F$10)^'DCF Valuation'!L33+'DCF Valuation'!M35/(1+F$10)^'DCF Valuation'!M33+'DCF Valuation'!N35/(1+F$10)^'DCF Valuation'!N33+'DCF Valuation'!O35/(1+F$10)^'DCF Valuation'!O33+('DCF Valuation'!C39*(1+$C13)/(F$10-$C13))/(1+F$10)^8.5+'DCF Valuation'!C52+'DCF Valuation'!C53+'DCF Valuation'!C54-'DCF Valuation'!C51)/'DCF Valuation'!C58),"N/M")</f>
        <v>165.25216331494067</v>
      </c>
      <c r="G13" s="255">
        <f>IFERROR(IF($C13&gt;=G$10,"N/M",('DCF Valuation'!H35/(1+G$10)^'DCF Valuation'!H33+'DCF Valuation'!I35/(1+G$10)^'DCF Valuation'!I33+'DCF Valuation'!J35/(1+G$10)^'DCF Valuation'!J33+'DCF Valuation'!K35/(1+G$10)^'DCF Valuation'!K33+'DCF Valuation'!L35/(1+G$10)^'DCF Valuation'!L33+'DCF Valuation'!M35/(1+G$10)^'DCF Valuation'!M33+'DCF Valuation'!N35/(1+G$10)^'DCF Valuation'!N33+'DCF Valuation'!O35/(1+G$10)^'DCF Valuation'!O33+('DCF Valuation'!C39*(1+$C13)/(G$10-$C13))/(1+G$10)^8.5+'DCF Valuation'!C52+'DCF Valuation'!C53+'DCF Valuation'!C54-'DCF Valuation'!C51)/'DCF Valuation'!C58),"N/M")</f>
        <v>147.81232130987229</v>
      </c>
      <c r="H13" s="255">
        <f>IFERROR(IF($C13&gt;=H$10,"N/M",('DCF Valuation'!H35/(1+H$10)^'DCF Valuation'!H33+'DCF Valuation'!I35/(1+H$10)^'DCF Valuation'!I33+'DCF Valuation'!J35/(1+H$10)^'DCF Valuation'!J33+'DCF Valuation'!K35/(1+H$10)^'DCF Valuation'!K33+'DCF Valuation'!L35/(1+H$10)^'DCF Valuation'!L33+'DCF Valuation'!M35/(1+H$10)^'DCF Valuation'!M33+'DCF Valuation'!N35/(1+H$10)^'DCF Valuation'!N33+'DCF Valuation'!O35/(1+H$10)^'DCF Valuation'!O33+('DCF Valuation'!C39*(1+$C13)/(H$10-$C13))/(1+H$10)^8.5+'DCF Valuation'!C52+'DCF Valuation'!C53+'DCF Valuation'!C54-'DCF Valuation'!C51)/'DCF Valuation'!C58),"N/M")</f>
        <v>142.24426565084809</v>
      </c>
      <c r="I13" s="255">
        <f>IFERROR(IF($C13&gt;=I$10,"N/M",('DCF Valuation'!H35/(1+I$10)^'DCF Valuation'!H33+'DCF Valuation'!I35/(1+I$10)^'DCF Valuation'!I33+'DCF Valuation'!J35/(1+I$10)^'DCF Valuation'!J33+'DCF Valuation'!K35/(1+I$10)^'DCF Valuation'!K33+'DCF Valuation'!L35/(1+I$10)^'DCF Valuation'!L33+'DCF Valuation'!M35/(1+I$10)^'DCF Valuation'!M33+'DCF Valuation'!N35/(1+I$10)^'DCF Valuation'!N33+'DCF Valuation'!O35/(1+I$10)^'DCF Valuation'!O33+('DCF Valuation'!C39*(1+$C13)/(I$10-$C13))/(1+I$10)^8.5+'DCF Valuation'!C52+'DCF Valuation'!C53+'DCF Valuation'!C54-'DCF Valuation'!C51)/'DCF Valuation'!C58),"N/M")</f>
        <v>132.64862917593015</v>
      </c>
      <c r="J13" s="255">
        <f>IFERROR(IF($C13&gt;=J$10,"N/M",('DCF Valuation'!H35/(1+J$10)^'DCF Valuation'!H33+'DCF Valuation'!I35/(1+J$10)^'DCF Valuation'!I33+'DCF Valuation'!J35/(1+J$10)^'DCF Valuation'!J33+'DCF Valuation'!K35/(1+J$10)^'DCF Valuation'!K33+'DCF Valuation'!L35/(1+J$10)^'DCF Valuation'!L33+'DCF Valuation'!M35/(1+J$10)^'DCF Valuation'!M33+'DCF Valuation'!N35/(1+J$10)^'DCF Valuation'!N33+'DCF Valuation'!O35/(1+J$10)^'DCF Valuation'!O33+('DCF Valuation'!C39*(1+$C13)/(J$10-$C13))/(1+J$10)^8.5+'DCF Valuation'!C52+'DCF Valuation'!C53+'DCF Valuation'!C54-'DCF Valuation'!C51)/'DCF Valuation'!C58),"N/M")</f>
        <v>124.28317503317149</v>
      </c>
    </row>
    <row r="14" spans="2:11" x14ac:dyDescent="0.2">
      <c r="B14" s="274"/>
      <c r="C14" s="265">
        <v>0.03</v>
      </c>
      <c r="D14" s="255">
        <f>IFERROR(IF($C14&gt;=D$10,"N/M",('DCF Valuation'!H35/(1+D$10)^'DCF Valuation'!H33+'DCF Valuation'!I35/(1+D$10)^'DCF Valuation'!I33+'DCF Valuation'!J35/(1+D$10)^'DCF Valuation'!J33+'DCF Valuation'!K35/(1+D$10)^'DCF Valuation'!K33+'DCF Valuation'!L35/(1+D$10)^'DCF Valuation'!L33+'DCF Valuation'!M35/(1+D$10)^'DCF Valuation'!M33+'DCF Valuation'!N35/(1+D$10)^'DCF Valuation'!N33+'DCF Valuation'!O35/(1+D$10)^'DCF Valuation'!O33+('DCF Valuation'!C39*(1+$C14)/(D$10-$C14))/(1+D$10)^8.5+'DCF Valuation'!C52+'DCF Valuation'!C53+'DCF Valuation'!C54-'DCF Valuation'!C51)/'DCF Valuation'!C58),"N/M")</f>
        <v>214.75931574451198</v>
      </c>
      <c r="E14" s="255">
        <f>IFERROR(IF($C14&gt;=E$10,"N/M",('DCF Valuation'!H35/(1+E$10)^'DCF Valuation'!H33+'DCF Valuation'!I35/(1+E$10)^'DCF Valuation'!I33+'DCF Valuation'!J35/(1+E$10)^'DCF Valuation'!J33+'DCF Valuation'!K35/(1+E$10)^'DCF Valuation'!K33+'DCF Valuation'!L35/(1+E$10)^'DCF Valuation'!L33+'DCF Valuation'!M35/(1+E$10)^'DCF Valuation'!M33+'DCF Valuation'!N35/(1+E$10)^'DCF Valuation'!N33+'DCF Valuation'!O35/(1+E$10)^'DCF Valuation'!O33+('DCF Valuation'!C39*(1+$C14)/(E$10-$C14))/(1+E$10)^8.5+'DCF Valuation'!C52+'DCF Valuation'!C53+'DCF Valuation'!C54-'DCF Valuation'!C51)/'DCF Valuation'!C58),"N/M")</f>
        <v>193.08039443537652</v>
      </c>
      <c r="F14" s="255">
        <f>IFERROR(IF($C14&gt;=F$10,"N/M",('DCF Valuation'!H35/(1+F$10)^'DCF Valuation'!H33+'DCF Valuation'!I35/(1+F$10)^'DCF Valuation'!I33+'DCF Valuation'!J35/(1+F$10)^'DCF Valuation'!J33+'DCF Valuation'!K35/(1+F$10)^'DCF Valuation'!K33+'DCF Valuation'!L35/(1+F$10)^'DCF Valuation'!L33+'DCF Valuation'!M35/(1+F$10)^'DCF Valuation'!M33+'DCF Valuation'!N35/(1+F$10)^'DCF Valuation'!N33+'DCF Valuation'!O35/(1+F$10)^'DCF Valuation'!O33+('DCF Valuation'!C39*(1+$C14)/(F$10-$C14))/(1+F$10)^8.5+'DCF Valuation'!C52+'DCF Valuation'!C53+'DCF Valuation'!C54-'DCF Valuation'!C51)/'DCF Valuation'!C58),"N/M")</f>
        <v>175.39147654358993</v>
      </c>
      <c r="G14" s="255">
        <f>IFERROR(IF($C14&gt;=G$10,"N/M",('DCF Valuation'!H35/(1+G$10)^'DCF Valuation'!H33+'DCF Valuation'!I35/(1+G$10)^'DCF Valuation'!I33+'DCF Valuation'!J35/(1+G$10)^'DCF Valuation'!J33+'DCF Valuation'!K35/(1+G$10)^'DCF Valuation'!K33+'DCF Valuation'!L35/(1+G$10)^'DCF Valuation'!L33+'DCF Valuation'!M35/(1+G$10)^'DCF Valuation'!M33+'DCF Valuation'!N35/(1+G$10)^'DCF Valuation'!N33+'DCF Valuation'!O35/(1+G$10)^'DCF Valuation'!O33+('DCF Valuation'!C39*(1+$C14)/(G$10-$C14))/(1+G$10)^8.5+'DCF Valuation'!C52+'DCF Valuation'!C53+'DCF Valuation'!C54-'DCF Valuation'!C51)/'DCF Valuation'!C58),"N/M")</f>
        <v>155.48491612186197</v>
      </c>
      <c r="H14" s="255">
        <f>IFERROR(IF($C14&gt;=H$10,"N/M",('DCF Valuation'!H35/(1+H$10)^'DCF Valuation'!H33+'DCF Valuation'!I35/(1+H$10)^'DCF Valuation'!I33+'DCF Valuation'!J35/(1+H$10)^'DCF Valuation'!J33+'DCF Valuation'!K35/(1+H$10)^'DCF Valuation'!K33+'DCF Valuation'!L35/(1+H$10)^'DCF Valuation'!L33+'DCF Valuation'!M35/(1+H$10)^'DCF Valuation'!M33+'DCF Valuation'!N35/(1+H$10)^'DCF Valuation'!N33+'DCF Valuation'!O35/(1+H$10)^'DCF Valuation'!O33+('DCF Valuation'!C39*(1+$C14)/(H$10-$C14))/(1+H$10)^8.5+'DCF Valuation'!C52+'DCF Valuation'!C53+'DCF Valuation'!C54-'DCF Valuation'!C51)/'DCF Valuation'!C58),"N/M")</f>
        <v>149.20680659354204</v>
      </c>
      <c r="I14" s="255">
        <f>IFERROR(IF($C14&gt;=I$10,"N/M",('DCF Valuation'!H35/(1+I$10)^'DCF Valuation'!H33+'DCF Valuation'!I35/(1+I$10)^'DCF Valuation'!I33+'DCF Valuation'!J35/(1+I$10)^'DCF Valuation'!J33+'DCF Valuation'!K35/(1+I$10)^'DCF Valuation'!K33+'DCF Valuation'!L35/(1+I$10)^'DCF Valuation'!L33+'DCF Valuation'!M35/(1+I$10)^'DCF Valuation'!M33+'DCF Valuation'!N35/(1+I$10)^'DCF Valuation'!N33+'DCF Valuation'!O35/(1+I$10)^'DCF Valuation'!O33+('DCF Valuation'!C39*(1+$C14)/(I$10-$C14))/(1+I$10)^8.5+'DCF Valuation'!C52+'DCF Valuation'!C53+'DCF Valuation'!C54-'DCF Valuation'!C51)/'DCF Valuation'!C58),"N/M")</f>
        <v>138.4740217179654</v>
      </c>
      <c r="J14" s="255">
        <f>IFERROR(IF($C14&gt;=J$10,"N/M",('DCF Valuation'!H35/(1+J$10)^'DCF Valuation'!H33+'DCF Valuation'!I35/(1+J$10)^'DCF Valuation'!I33+'DCF Valuation'!J35/(1+J$10)^'DCF Valuation'!J33+'DCF Valuation'!K35/(1+J$10)^'DCF Valuation'!K33+'DCF Valuation'!L35/(1+J$10)^'DCF Valuation'!L33+'DCF Valuation'!M35/(1+J$10)^'DCF Valuation'!M33+'DCF Valuation'!N35/(1+J$10)^'DCF Valuation'!N33+'DCF Valuation'!O35/(1+J$10)^'DCF Valuation'!O33+('DCF Valuation'!C39*(1+$C14)/(J$10-$C14))/(1+J$10)^8.5+'DCF Valuation'!C52+'DCF Valuation'!C53+'DCF Valuation'!C54-'DCF Valuation'!C51)/'DCF Valuation'!C58),"N/M")</f>
        <v>129.20543132259181</v>
      </c>
    </row>
    <row r="15" spans="2:11" x14ac:dyDescent="0.2">
      <c r="B15" s="274"/>
      <c r="C15" s="263">
        <f>C14+0.005</f>
        <v>3.4999999999999996E-2</v>
      </c>
      <c r="D15" s="255">
        <f>IFERROR(IF($C15&gt;=D$10,"N/M",('DCF Valuation'!H35/(1+D$10)^'DCF Valuation'!H33+'DCF Valuation'!I35/(1+D$10)^'DCF Valuation'!I33+'DCF Valuation'!J35/(1+D$10)^'DCF Valuation'!J33+'DCF Valuation'!K35/(1+D$10)^'DCF Valuation'!K33+'DCF Valuation'!L35/(1+D$10)^'DCF Valuation'!L33+'DCF Valuation'!M35/(1+D$10)^'DCF Valuation'!M33+'DCF Valuation'!N35/(1+D$10)^'DCF Valuation'!N33+'DCF Valuation'!O35/(1+D$10)^'DCF Valuation'!O33+('DCF Valuation'!C39*(1+$C15)/(D$10-$C15))/(1+D$10)^8.5+'DCF Valuation'!C52+'DCF Valuation'!C53+'DCF Valuation'!C54-'DCF Valuation'!C51)/'DCF Valuation'!C58),"N/M")</f>
        <v>234.70967943566203</v>
      </c>
      <c r="E15" s="255">
        <f>IFERROR(IF($C15&gt;=E$10,"N/M",('DCF Valuation'!H35/(1+E$10)^'DCF Valuation'!H33+'DCF Valuation'!I35/(1+E$10)^'DCF Valuation'!I33+'DCF Valuation'!J35/(1+E$10)^'DCF Valuation'!J33+'DCF Valuation'!K35/(1+E$10)^'DCF Valuation'!K33+'DCF Valuation'!L35/(1+E$10)^'DCF Valuation'!L33+'DCF Valuation'!M35/(1+E$10)^'DCF Valuation'!M33+'DCF Valuation'!N35/(1+E$10)^'DCF Valuation'!N33+'DCF Valuation'!O35/(1+E$10)^'DCF Valuation'!O33+('DCF Valuation'!C39*(1+$C15)/(E$10-$C15))/(1+E$10)^8.5+'DCF Valuation'!C52+'DCF Valuation'!C53+'DCF Valuation'!C54-'DCF Valuation'!C51)/'DCF Valuation'!C58),"N/M")</f>
        <v>208.48700411774226</v>
      </c>
      <c r="F15" s="255">
        <f>IFERROR(IF($C15&gt;=F$10,"N/M",('DCF Valuation'!H35/(1+F$10)^'DCF Valuation'!H33+'DCF Valuation'!I35/(1+F$10)^'DCF Valuation'!I33+'DCF Valuation'!J35/(1+F$10)^'DCF Valuation'!J33+'DCF Valuation'!K35/(1+F$10)^'DCF Valuation'!K33+'DCF Valuation'!L35/(1+F$10)^'DCF Valuation'!L33+'DCF Valuation'!M35/(1+F$10)^'DCF Valuation'!M33+'DCF Valuation'!N35/(1+F$10)^'DCF Valuation'!N33+'DCF Valuation'!O35/(1+F$10)^'DCF Valuation'!O33+('DCF Valuation'!C39*(1+$C15)/(F$10-$C15))/(1+F$10)^8.5+'DCF Valuation'!C52+'DCF Valuation'!C53+'DCF Valuation'!C54-'DCF Valuation'!C51)/'DCF Valuation'!C58),"N/M")</f>
        <v>187.56271627096646</v>
      </c>
      <c r="G15" s="255">
        <f>IFERROR(IF($C15&gt;=G$10,"N/M",('DCF Valuation'!H35/(1+G$10)^'DCF Valuation'!H33+'DCF Valuation'!I35/(1+G$10)^'DCF Valuation'!I33+'DCF Valuation'!J35/(1+G$10)^'DCF Valuation'!J33+'DCF Valuation'!K35/(1+G$10)^'DCF Valuation'!K33+'DCF Valuation'!L35/(1+G$10)^'DCF Valuation'!L33+'DCF Valuation'!M35/(1+G$10)^'DCF Valuation'!M33+'DCF Valuation'!N35/(1+G$10)^'DCF Valuation'!N33+'DCF Valuation'!O35/(1+G$10)^'DCF Valuation'!O33+('DCF Valuation'!C39*(1+$C15)/(G$10-$C15))/(1+G$10)^8.5+'DCF Valuation'!C52+'DCF Valuation'!C53+'DCF Valuation'!C54-'DCF Valuation'!C51)/'DCF Valuation'!C58),"N/M")</f>
        <v>164.50594587444741</v>
      </c>
      <c r="H15" s="255">
        <f>IFERROR(IF($C15&gt;=H$10,"N/M",('DCF Valuation'!H35/(1+H$10)^'DCF Valuation'!H33+'DCF Valuation'!I35/(1+H$10)^'DCF Valuation'!I33+'DCF Valuation'!J35/(1+H$10)^'DCF Valuation'!J33+'DCF Valuation'!K35/(1+H$10)^'DCF Valuation'!K33+'DCF Valuation'!L35/(1+H$10)^'DCF Valuation'!L33+'DCF Valuation'!M35/(1+H$10)^'DCF Valuation'!M33+'DCF Valuation'!N35/(1+H$10)^'DCF Valuation'!N33+'DCF Valuation'!O35/(1+H$10)^'DCF Valuation'!O33+('DCF Valuation'!C39*(1+$C15)/(H$10-$C15))/(1+H$10)^8.5+'DCF Valuation'!C52+'DCF Valuation'!C53+'DCF Valuation'!C54-'DCF Valuation'!C51)/'DCF Valuation'!C58),"N/M")</f>
        <v>157.33952248458786</v>
      </c>
      <c r="I15" s="255">
        <f>IFERROR(IF($C15&gt;=I$10,"N/M",('DCF Valuation'!H35/(1+I$10)^'DCF Valuation'!H33+'DCF Valuation'!I35/(1+I$10)^'DCF Valuation'!I33+'DCF Valuation'!J35/(1+I$10)^'DCF Valuation'!J33+'DCF Valuation'!K35/(1+I$10)^'DCF Valuation'!K33+'DCF Valuation'!L35/(1+I$10)^'DCF Valuation'!L33+'DCF Valuation'!M35/(1+I$10)^'DCF Valuation'!M33+'DCF Valuation'!N35/(1+I$10)^'DCF Valuation'!N33+'DCF Valuation'!O35/(1+I$10)^'DCF Valuation'!O33+('DCF Valuation'!C39*(1+$C15)/(I$10-$C15))/(1+I$10)^8.5+'DCF Valuation'!C52+'DCF Valuation'!C53+'DCF Valuation'!C54-'DCF Valuation'!C51)/'DCF Valuation'!C58),"N/M")</f>
        <v>145.20257589442477</v>
      </c>
      <c r="J15" s="255">
        <f>IFERROR(IF($C15&gt;=J$10,"N/M",('DCF Valuation'!H35/(1+J$10)^'DCF Valuation'!H33+'DCF Valuation'!I35/(1+J$10)^'DCF Valuation'!I33+'DCF Valuation'!J35/(1+J$10)^'DCF Valuation'!J33+'DCF Valuation'!K35/(1+J$10)^'DCF Valuation'!K33+'DCF Valuation'!L35/(1+J$10)^'DCF Valuation'!L33+'DCF Valuation'!M35/(1+J$10)^'DCF Valuation'!M33+'DCF Valuation'!N35/(1+J$10)^'DCF Valuation'!N33+'DCF Valuation'!O35/(1+J$10)^'DCF Valuation'!O33+('DCF Valuation'!C39*(1+$C15)/(J$10-$C15))/(1+J$10)^8.5+'DCF Valuation'!C52+'DCF Valuation'!C53+'DCF Valuation'!C54-'DCF Valuation'!C51)/'DCF Valuation'!C58),"N/M")</f>
        <v>134.83592592703661</v>
      </c>
    </row>
    <row r="16" spans="2:11" x14ac:dyDescent="0.2">
      <c r="B16" s="274"/>
      <c r="C16" s="263">
        <f>C15+0.005</f>
        <v>3.9999999999999994E-2</v>
      </c>
      <c r="D16" s="255">
        <f>IFERROR(IF($C16&gt;=D$10,"N/M",('DCF Valuation'!H35/(1+D$10)^'DCF Valuation'!H33+'DCF Valuation'!I35/(1+D$10)^'DCF Valuation'!I33+'DCF Valuation'!J35/(1+D$10)^'DCF Valuation'!J33+'DCF Valuation'!K35/(1+D$10)^'DCF Valuation'!K33+'DCF Valuation'!L35/(1+D$10)^'DCF Valuation'!L33+'DCF Valuation'!M35/(1+D$10)^'DCF Valuation'!M33+'DCF Valuation'!N35/(1+D$10)^'DCF Valuation'!N33+'DCF Valuation'!O35/(1+D$10)^'DCF Valuation'!O33+('DCF Valuation'!C39*(1+$C16)/(D$10-$C16))/(1+D$10)^8.5+'DCF Valuation'!C52+'DCF Valuation'!C53+'DCF Valuation'!C54-'DCF Valuation'!C51)/'DCF Valuation'!C58),"N/M")</f>
        <v>260.37647971453418</v>
      </c>
      <c r="E16" s="255">
        <f>IFERROR(IF($C16&gt;=E$10,"N/M",('DCF Valuation'!H35/(1+E$10)^'DCF Valuation'!H33+'DCF Valuation'!I35/(1+E$10)^'DCF Valuation'!I33+'DCF Valuation'!J35/(1+E$10)^'DCF Valuation'!J33+'DCF Valuation'!K35/(1+E$10)^'DCF Valuation'!K33+'DCF Valuation'!L35/(1+E$10)^'DCF Valuation'!L33+'DCF Valuation'!M35/(1+E$10)^'DCF Valuation'!M33+'DCF Valuation'!N35/(1+E$10)^'DCF Valuation'!N33+'DCF Valuation'!O35/(1+E$10)^'DCF Valuation'!O33+('DCF Valuation'!C39*(1+$C16)/(E$10-$C16))/(1+E$10)^8.5+'DCF Valuation'!C52+'DCF Valuation'!C53+'DCF Valuation'!C54-'DCF Valuation'!C51)/'DCF Valuation'!C58),"N/M")</f>
        <v>227.75491948491148</v>
      </c>
      <c r="F16" s="255">
        <f>IFERROR(IF($C16&gt;=F$10,"N/M",('DCF Valuation'!H35/(1+F$10)^'DCF Valuation'!H33+'DCF Valuation'!I35/(1+F$10)^'DCF Valuation'!I33+'DCF Valuation'!J35/(1+F$10)^'DCF Valuation'!J33+'DCF Valuation'!K35/(1+F$10)^'DCF Valuation'!K33+'DCF Valuation'!L35/(1+F$10)^'DCF Valuation'!L33+'DCF Valuation'!M35/(1+F$10)^'DCF Valuation'!M33+'DCF Valuation'!N35/(1+F$10)^'DCF Valuation'!N33+'DCF Valuation'!O35/(1+F$10)^'DCF Valuation'!O33+('DCF Valuation'!C39*(1+$C16)/(F$10-$C16))/(1+F$10)^8.5+'DCF Valuation'!C52+'DCF Valuation'!C53+'DCF Valuation'!C54-'DCF Valuation'!C51)/'DCF Valuation'!C58),"N/M")</f>
        <v>202.44469981290351</v>
      </c>
      <c r="G16" s="255">
        <f>IFERROR(IF($C16&gt;=G$10,"N/M",('DCF Valuation'!H35/(1+G$10)^'DCF Valuation'!H33+'DCF Valuation'!I35/(1+G$10)^'DCF Valuation'!I33+'DCF Valuation'!J35/(1+G$10)^'DCF Valuation'!J33+'DCF Valuation'!K35/(1+G$10)^'DCF Valuation'!K33+'DCF Valuation'!L35/(1+G$10)^'DCF Valuation'!L33+'DCF Valuation'!M35/(1+G$10)^'DCF Valuation'!M33+'DCF Valuation'!N35/(1+G$10)^'DCF Valuation'!N33+'DCF Valuation'!O35/(1+G$10)^'DCF Valuation'!O33+('DCF Valuation'!C39*(1+$C16)/(G$10-$C16))/(1+G$10)^8.5+'DCF Valuation'!C52+'DCF Valuation'!C53+'DCF Valuation'!C54-'DCF Valuation'!C51)/'DCF Valuation'!C58),"N/M")</f>
        <v>175.26513164872554</v>
      </c>
      <c r="H16" s="255">
        <f>IFERROR(IF($C16&gt;=H$10,"N/M",('DCF Valuation'!H35/(1+H$10)^'DCF Valuation'!H33+'DCF Valuation'!I35/(1+H$10)^'DCF Valuation'!I33+'DCF Valuation'!J35/(1+H$10)^'DCF Valuation'!J33+'DCF Valuation'!K35/(1+H$10)^'DCF Valuation'!K33+'DCF Valuation'!L35/(1+H$10)^'DCF Valuation'!L33+'DCF Valuation'!M35/(1+H$10)^'DCF Valuation'!M33+'DCF Valuation'!N35/(1+H$10)^'DCF Valuation'!N33+'DCF Valuation'!O35/(1+H$10)^'DCF Valuation'!O33+('DCF Valuation'!C39*(1+$C16)/(H$10-$C16))/(1+H$10)^8.5+'DCF Valuation'!C52+'DCF Valuation'!C53+'DCF Valuation'!C54-'DCF Valuation'!C51)/'DCF Valuation'!C58),"N/M")</f>
        <v>166.964479823532</v>
      </c>
      <c r="I16" s="255">
        <f>IFERROR(IF($C16&gt;=I$10,"N/M",('DCF Valuation'!H35/(1+I$10)^'DCF Valuation'!H33+'DCF Valuation'!I35/(1+I$10)^'DCF Valuation'!I33+'DCF Valuation'!J35/(1+I$10)^'DCF Valuation'!J33+'DCF Valuation'!K35/(1+I$10)^'DCF Valuation'!K33+'DCF Valuation'!L35/(1+I$10)^'DCF Valuation'!L33+'DCF Valuation'!M35/(1+I$10)^'DCF Valuation'!M33+'DCF Valuation'!N35/(1+I$10)^'DCF Valuation'!N33+'DCF Valuation'!O35/(1+I$10)^'DCF Valuation'!O33+('DCF Valuation'!C39*(1+$C16)/(I$10-$C16))/(1+I$10)^8.5+'DCF Valuation'!C52+'DCF Valuation'!C53+'DCF Valuation'!C54-'DCF Valuation'!C51)/'DCF Valuation'!C58),"N/M")</f>
        <v>153.06197951230587</v>
      </c>
      <c r="J16" s="255">
        <f>IFERROR(IF($C16&gt;=J$10,"N/M",('DCF Valuation'!H35/(1+J$10)^'DCF Valuation'!H33+'DCF Valuation'!I35/(1+J$10)^'DCF Valuation'!I33+'DCF Valuation'!J35/(1+J$10)^'DCF Valuation'!J33+'DCF Valuation'!K35/(1+J$10)^'DCF Valuation'!K33+'DCF Valuation'!L35/(1+J$10)^'DCF Valuation'!L33+'DCF Valuation'!M35/(1+J$10)^'DCF Valuation'!M33+'DCF Valuation'!N35/(1+J$10)^'DCF Valuation'!N33+'DCF Valuation'!O35/(1+J$10)^'DCF Valuation'!O33+('DCF Valuation'!C39*(1+$C16)/(J$10-$C16))/(1+J$10)^8.5+'DCF Valuation'!C52+'DCF Valuation'!C53+'DCF Valuation'!C54-'DCF Valuation'!C51)/'DCF Valuation'!C58),"N/M")</f>
        <v>141.33936543139535</v>
      </c>
    </row>
    <row r="17" spans="2:10" x14ac:dyDescent="0.2">
      <c r="B17" s="12"/>
      <c r="C17" s="12"/>
      <c r="D17" s="12"/>
      <c r="E17" s="12"/>
      <c r="F17" s="12"/>
      <c r="G17" s="12"/>
      <c r="H17" s="12"/>
      <c r="I17" s="12"/>
      <c r="J17" s="12"/>
    </row>
    <row r="18" spans="2:10" x14ac:dyDescent="0.2">
      <c r="B18" s="275" t="s">
        <v>453</v>
      </c>
      <c r="C18" s="257"/>
      <c r="D18" s="257"/>
      <c r="E18" s="257"/>
      <c r="F18" s="257"/>
      <c r="G18" s="257"/>
      <c r="H18" s="257"/>
      <c r="I18" s="257"/>
      <c r="J18" s="257"/>
    </row>
    <row r="19" spans="2:10" x14ac:dyDescent="0.2">
      <c r="B19" s="276" t="s">
        <v>457</v>
      </c>
      <c r="C19" s="250">
        <f>C7</f>
        <v>155.50437768782012</v>
      </c>
      <c r="D19" s="252">
        <f t="shared" ref="D19:E19" si="0">E19-0.02</f>
        <v>0.29579999999999995</v>
      </c>
      <c r="E19" s="252">
        <f t="shared" si="0"/>
        <v>0.31579999999999997</v>
      </c>
      <c r="F19" s="252">
        <f>G19-0.012</f>
        <v>0.33579999999999999</v>
      </c>
      <c r="G19" s="256">
        <v>0.3478</v>
      </c>
      <c r="H19" s="252">
        <f>G19+0.012</f>
        <v>0.35980000000000001</v>
      </c>
      <c r="I19" s="252">
        <f t="shared" ref="I19:J19" si="1">H19+0.022</f>
        <v>0.38180000000000003</v>
      </c>
      <c r="J19" s="252">
        <f t="shared" si="1"/>
        <v>0.40380000000000005</v>
      </c>
    </row>
    <row r="20" spans="2:10" x14ac:dyDescent="0.2">
      <c r="B20" s="257"/>
      <c r="C20" s="252">
        <f>C21-0.02</f>
        <v>0.08</v>
      </c>
      <c r="D20" s="255">
        <f>IFERROR((SUM('DCF Valuation'!H36:O36)+(((((('Income Statement'!G7*(1+$C20)^8)+'Income Statement'!O6)*(D$19-'DCF Valuation'!J12))*(1-'DCF Valuation'!C14))+((('Income Statement'!G7*(1+$C20)^8)+'Income Statement'!O6)*'DCF Valuation'!J12)-((('Income Statement'!G7*(1+$C20)^8)+'Income Statement'!O6)*'DCF Valuation'!J11))*(1+'DCF Valuation'!J9)/('DCF Valuation'!C18-'DCF Valuation'!J9))/(1+'DCF Valuation'!C18)^8.5+'DCF Valuation'!C52+'DCF Valuation'!C53+'DCF Valuation'!C54-'DCF Valuation'!C51)/'DCF Valuation'!C58,"N/M")</f>
        <v>125.69218061933411</v>
      </c>
      <c r="E20" s="255">
        <f>IFERROR((SUM('DCF Valuation'!H36:O36)+(((((('Income Statement'!G7*(1+$C20)^8)+'Income Statement'!O6)*(E$19-'DCF Valuation'!J12))*(1-'DCF Valuation'!C14))+((('Income Statement'!G7*(1+$C20)^8)+'Income Statement'!O6)*'DCF Valuation'!J12)-((('Income Statement'!G7*(1+$C20)^8)+'Income Statement'!O6)*'DCF Valuation'!J11))*(1+'DCF Valuation'!J9)/('DCF Valuation'!C18-'DCF Valuation'!J9))/(1+'DCF Valuation'!C18)^8.5+'DCF Valuation'!C52+'DCF Valuation'!C53+'DCF Valuation'!C54-'DCF Valuation'!C51)/'DCF Valuation'!C58,"N/M")</f>
        <v>130.76664872606361</v>
      </c>
      <c r="F20" s="255">
        <f>IFERROR((SUM('DCF Valuation'!H36:O36)+(((((('Income Statement'!G7*(1+$C20)^8)+'Income Statement'!O6)*(F$19-'DCF Valuation'!J12))*(1-'DCF Valuation'!C14))+((('Income Statement'!G7*(1+$C20)^8)+'Income Statement'!O6)*'DCF Valuation'!J12)-((('Income Statement'!G7*(1+$C20)^8)+'Income Statement'!O6)*'DCF Valuation'!J11))*(1+'DCF Valuation'!J9)/('DCF Valuation'!C18-'DCF Valuation'!J9))/(1+'DCF Valuation'!C18)^8.5+'DCF Valuation'!C52+'DCF Valuation'!C53+'DCF Valuation'!C54-'DCF Valuation'!C51)/'DCF Valuation'!C58,"N/M")</f>
        <v>135.84111683279309</v>
      </c>
      <c r="G20" s="255">
        <f>IFERROR((SUM('DCF Valuation'!H36:O36)+(((((('Income Statement'!G7*(1+$C20)^8)+'Income Statement'!O6)*(G$19-'DCF Valuation'!J12))*(1-'DCF Valuation'!C14))+((('Income Statement'!G7*(1+$C20)^8)+'Income Statement'!O6)*'DCF Valuation'!J12)-((('Income Statement'!G7*(1+$C20)^8)+'Income Statement'!O6)*'DCF Valuation'!J11))*(1+'DCF Valuation'!J9)/('DCF Valuation'!C18-'DCF Valuation'!J9))/(1+'DCF Valuation'!C18)^8.5+'DCF Valuation'!C52+'DCF Valuation'!C53+'DCF Valuation'!C54-'DCF Valuation'!C51)/'DCF Valuation'!C58,"N/M")</f>
        <v>138.88579769683076</v>
      </c>
      <c r="H20" s="255">
        <f>IFERROR((SUM('DCF Valuation'!H36:O36)+(((((('Income Statement'!G7*(1+$C20)^8)+'Income Statement'!O6)*(H$19-'DCF Valuation'!J12))*(1-'DCF Valuation'!C14))+((('Income Statement'!G7*(1+$C20)^8)+'Income Statement'!O6)*'DCF Valuation'!J12)-((('Income Statement'!G7*(1+$C20)^8)+'Income Statement'!O6)*'DCF Valuation'!J11))*(1+'DCF Valuation'!J9)/('DCF Valuation'!C18-'DCF Valuation'!J9))/(1+'DCF Valuation'!C18)^8.5+'DCF Valuation'!C52+'DCF Valuation'!C53+'DCF Valuation'!C54-'DCF Valuation'!C51)/'DCF Valuation'!C58,"N/M")</f>
        <v>141.93047856086847</v>
      </c>
      <c r="I20" s="255">
        <f>IFERROR((SUM('DCF Valuation'!H36:O36)+(((((('Income Statement'!G7*(1+$C20)^8)+'Income Statement'!O6)*(I$19-'DCF Valuation'!J12))*(1-'DCF Valuation'!C14))+((('Income Statement'!G7*(1+$C20)^8)+'Income Statement'!O6)*'DCF Valuation'!J12)-((('Income Statement'!G7*(1+$C20)^8)+'Income Statement'!O6)*'DCF Valuation'!J11))*(1+'DCF Valuation'!J9)/('DCF Valuation'!C18-'DCF Valuation'!J9))/(1+'DCF Valuation'!C18)^8.5+'DCF Valuation'!C52+'DCF Valuation'!C53+'DCF Valuation'!C54-'DCF Valuation'!C51)/'DCF Valuation'!C58,"N/M")</f>
        <v>147.51239347827087</v>
      </c>
      <c r="J20" s="255">
        <f>IFERROR((SUM('DCF Valuation'!H36:O36)+(((((('Income Statement'!G7*(1+$C20)^8)+'Income Statement'!O6)*(J$19-'DCF Valuation'!J12))*(1-'DCF Valuation'!C14))+((('Income Statement'!G7*(1+$C20)^8)+'Income Statement'!O6)*'DCF Valuation'!J12)-((('Income Statement'!G7*(1+$C20)^8)+'Income Statement'!O6)*'DCF Valuation'!J11))*(1+'DCF Valuation'!J9)/('DCF Valuation'!C18-'DCF Valuation'!J9))/(1+'DCF Valuation'!C18)^8.5+'DCF Valuation'!C52+'DCF Valuation'!C53+'DCF Valuation'!C54-'DCF Valuation'!C51)/'DCF Valuation'!C58,"N/M")</f>
        <v>153.09430839567327</v>
      </c>
    </row>
    <row r="21" spans="2:10" x14ac:dyDescent="0.2">
      <c r="B21" s="257"/>
      <c r="C21" s="252">
        <f>C22-0.02</f>
        <v>0.1</v>
      </c>
      <c r="D21" s="255">
        <f>IFERROR((SUM('DCF Valuation'!H36:O36)+(((((('Income Statement'!G7*(1+$C21)^8)+'Income Statement'!O6)*(D$19-'DCF Valuation'!J12))*(1-'DCF Valuation'!C14))+((('Income Statement'!G7*(1+$C21)^8)+'Income Statement'!O6)*'DCF Valuation'!J12)-((('Income Statement'!G7*(1+$C21)^8)+'Income Statement'!O6)*'DCF Valuation'!J11))*(1+'DCF Valuation'!J9)/('DCF Valuation'!C18-'DCF Valuation'!J9))/(1+'DCF Valuation'!C18)^8.5+'DCF Valuation'!C52+'DCF Valuation'!C53+'DCF Valuation'!C54-'DCF Valuation'!C51)/'DCF Valuation'!C58,"N/M")</f>
        <v>129.43511530251322</v>
      </c>
      <c r="E21" s="255">
        <f>IFERROR((SUM('DCF Valuation'!H36:O36)+(((((('Income Statement'!G7*(1+$C21)^8)+'Income Statement'!O6)*(E$19-'DCF Valuation'!J12))*(1-'DCF Valuation'!C14))+((('Income Statement'!G7*(1+$C21)^8)+'Income Statement'!O6)*'DCF Valuation'!J12)-((('Income Statement'!G7*(1+$C21)^8)+'Income Statement'!O6)*'DCF Valuation'!J11))*(1+'DCF Valuation'!J9)/('DCF Valuation'!C18-'DCF Valuation'!J9))/(1+'DCF Valuation'!C18)^8.5+'DCF Valuation'!C52+'DCF Valuation'!C53+'DCF Valuation'!C54-'DCF Valuation'!C51)/'DCF Valuation'!C58,"N/M")</f>
        <v>134.79287562929898</v>
      </c>
      <c r="F21" s="255">
        <f>IFERROR((SUM('DCF Valuation'!H36:O36)+(((((('Income Statement'!G7*(1+$C21)^8)+'Income Statement'!O6)*(F$19-'DCF Valuation'!J12))*(1-'DCF Valuation'!C14))+((('Income Statement'!G7*(1+$C21)^8)+'Income Statement'!O6)*'DCF Valuation'!J12)-((('Income Statement'!G7*(1+$C21)^8)+'Income Statement'!O6)*'DCF Valuation'!J11))*(1+'DCF Valuation'!J9)/('DCF Valuation'!C18-'DCF Valuation'!J9))/(1+'DCF Valuation'!C18)^8.5+'DCF Valuation'!C52+'DCF Valuation'!C53+'DCF Valuation'!C54-'DCF Valuation'!C51)/'DCF Valuation'!C58,"N/M")</f>
        <v>140.15063595608478</v>
      </c>
      <c r="G21" s="255">
        <f>IFERROR((SUM('DCF Valuation'!H36:O36)+(((((('Income Statement'!G7*(1+$C21)^8)+'Income Statement'!O6)*(G$19-'DCF Valuation'!J12))*(1-'DCF Valuation'!C14))+((('Income Statement'!G7*(1+$C21)^8)+'Income Statement'!O6)*'DCF Valuation'!J12)-((('Income Statement'!G7*(1+$C21)^8)+'Income Statement'!O6)*'DCF Valuation'!J11))*(1+'DCF Valuation'!J9)/('DCF Valuation'!C18-'DCF Valuation'!J9))/(1+'DCF Valuation'!C18)^8.5+'DCF Valuation'!C52+'DCF Valuation'!C53+'DCF Valuation'!C54-'DCF Valuation'!C51)/'DCF Valuation'!C58,"N/M")</f>
        <v>143.36529215215626</v>
      </c>
      <c r="H21" s="255">
        <f>IFERROR((SUM('DCF Valuation'!H36:O36)+(((((('Income Statement'!G7*(1+$C21)^8)+'Income Statement'!O6)*(H$19-'DCF Valuation'!J12))*(1-'DCF Valuation'!C14))+((('Income Statement'!G7*(1+$C21)^8)+'Income Statement'!O6)*'DCF Valuation'!J12)-((('Income Statement'!G7*(1+$C21)^8)+'Income Statement'!O6)*'DCF Valuation'!J11))*(1+'DCF Valuation'!J9)/('DCF Valuation'!C18-'DCF Valuation'!J9))/(1+'DCF Valuation'!C18)^8.5+'DCF Valuation'!C52+'DCF Valuation'!C53+'DCF Valuation'!C54-'DCF Valuation'!C51)/'DCF Valuation'!C58,"N/M")</f>
        <v>146.57994834822773</v>
      </c>
      <c r="I21" s="255">
        <f>IFERROR((SUM('DCF Valuation'!H36:O36)+(((((('Income Statement'!G7*(1+$C21)^8)+'Income Statement'!O6)*(I$19-'DCF Valuation'!J12))*(1-'DCF Valuation'!C14))+((('Income Statement'!G7*(1+$C21)^8)+'Income Statement'!O6)*'DCF Valuation'!J12)-((('Income Statement'!G7*(1+$C21)^8)+'Income Statement'!O6)*'DCF Valuation'!J11))*(1+'DCF Valuation'!J9)/('DCF Valuation'!C18-'DCF Valuation'!J9))/(1+'DCF Valuation'!C18)^8.5+'DCF Valuation'!C52+'DCF Valuation'!C53+'DCF Valuation'!C54-'DCF Valuation'!C51)/'DCF Valuation'!C58,"N/M")</f>
        <v>152.47348470769208</v>
      </c>
      <c r="J21" s="255">
        <f>IFERROR((SUM('DCF Valuation'!H36:O36)+(((((('Income Statement'!G7*(1+$C21)^8)+'Income Statement'!O6)*(J$19-'DCF Valuation'!J12))*(1-'DCF Valuation'!C14))+((('Income Statement'!G7*(1+$C21)^8)+'Income Statement'!O6)*'DCF Valuation'!J12)-((('Income Statement'!G7*(1+$C21)^8)+'Income Statement'!O6)*'DCF Valuation'!J11))*(1+'DCF Valuation'!J9)/('DCF Valuation'!C18-'DCF Valuation'!J9))/(1+'DCF Valuation'!C18)^8.5+'DCF Valuation'!C52+'DCF Valuation'!C53+'DCF Valuation'!C54-'DCF Valuation'!C51)/'DCF Valuation'!C58,"N/M")</f>
        <v>158.36702106715649</v>
      </c>
    </row>
    <row r="22" spans="2:10" x14ac:dyDescent="0.2">
      <c r="B22" s="257"/>
      <c r="C22" s="252">
        <f>C23-0.02</f>
        <v>0.12000000000000001</v>
      </c>
      <c r="D22" s="255">
        <f>IFERROR((SUM('DCF Valuation'!H36:O36)+(((((('Income Statement'!G7*(1+$C22)^8)+'Income Statement'!O6)*(D$19-'DCF Valuation'!J12))*(1-'DCF Valuation'!C14))+((('Income Statement'!G7*(1+$C22)^8)+'Income Statement'!O6)*'DCF Valuation'!J12)-((('Income Statement'!G7*(1+$C22)^8)+'Income Statement'!O6)*'DCF Valuation'!J11))*(1+'DCF Valuation'!J9)/('DCF Valuation'!C18-'DCF Valuation'!J9))/(1+'DCF Valuation'!C18)^8.5+'DCF Valuation'!C52+'DCF Valuation'!C53+'DCF Valuation'!C54-'DCF Valuation'!C51)/'DCF Valuation'!C58,"N/M")</f>
        <v>133.68599173191851</v>
      </c>
      <c r="E22" s="255">
        <f>IFERROR((SUM('DCF Valuation'!H36:O36)+(((((('Income Statement'!G7*(1+$C22)^8)+'Income Statement'!O6)*(E$19-'DCF Valuation'!J12))*(1-'DCF Valuation'!C14))+((('Income Statement'!G7*(1+$C22)^8)+'Income Statement'!O6)*'DCF Valuation'!J12)-((('Income Statement'!G7*(1+$C22)^8)+'Income Statement'!O6)*'DCF Valuation'!J11))*(1+'DCF Valuation'!J9)/('DCF Valuation'!C18-'DCF Valuation'!J9))/(1+'DCF Valuation'!C18)^8.5+'DCF Valuation'!C52+'DCF Valuation'!C53+'DCF Valuation'!C54-'DCF Valuation'!C51)/'DCF Valuation'!C58,"N/M")</f>
        <v>139.36548896378127</v>
      </c>
      <c r="F22" s="255">
        <f>IFERROR((SUM('DCF Valuation'!H36:O36)+(((((('Income Statement'!G7*(1+$C22)^8)+'Income Statement'!O6)*(F$19-'DCF Valuation'!J12))*(1-'DCF Valuation'!C14))+((('Income Statement'!G7*(1+$C22)^8)+'Income Statement'!O6)*'DCF Valuation'!J12)-((('Income Statement'!G7*(1+$C22)^8)+'Income Statement'!O6)*'DCF Valuation'!J11))*(1+'DCF Valuation'!J9)/('DCF Valuation'!C18-'DCF Valuation'!J9))/(1+'DCF Valuation'!C18)^8.5+'DCF Valuation'!C52+'DCF Valuation'!C53+'DCF Valuation'!C54-'DCF Valuation'!C51)/'DCF Valuation'!C58,"N/M")</f>
        <v>145.04498619564401</v>
      </c>
      <c r="G22" s="255">
        <f>IFERROR((SUM('DCF Valuation'!H36:O36)+(((((('Income Statement'!G7*(1+$C22)^8)+'Income Statement'!O6)*(G$19-'DCF Valuation'!J12))*(1-'DCF Valuation'!C14))+((('Income Statement'!G7*(1+$C22)^8)+'Income Statement'!O6)*'DCF Valuation'!J12)-((('Income Statement'!G7*(1+$C22)^8)+'Income Statement'!O6)*'DCF Valuation'!J11))*(1+'DCF Valuation'!J9)/('DCF Valuation'!C18-'DCF Valuation'!J9))/(1+'DCF Valuation'!C18)^8.5+'DCF Valuation'!C52+'DCF Valuation'!C53+'DCF Valuation'!C54-'DCF Valuation'!C51)/'DCF Valuation'!C58,"N/M")</f>
        <v>148.45268453476166</v>
      </c>
      <c r="H22" s="255">
        <f>IFERROR((SUM('DCF Valuation'!H36:O36)+(((((('Income Statement'!G7*(1+$C22)^8)+'Income Statement'!O6)*(H$19-'DCF Valuation'!J12))*(1-'DCF Valuation'!C14))+((('Income Statement'!G7*(1+$C22)^8)+'Income Statement'!O6)*'DCF Valuation'!J12)-((('Income Statement'!G7*(1+$C22)^8)+'Income Statement'!O6)*'DCF Valuation'!J11))*(1+'DCF Valuation'!J9)/('DCF Valuation'!C18-'DCF Valuation'!J9))/(1+'DCF Valuation'!C18)^8.5+'DCF Valuation'!C52+'DCF Valuation'!C53+'DCF Valuation'!C54-'DCF Valuation'!C51)/'DCF Valuation'!C58,"N/M")</f>
        <v>151.8603828738793</v>
      </c>
      <c r="I22" s="255">
        <f>IFERROR((SUM('DCF Valuation'!H36:O36)+(((((('Income Statement'!G7*(1+$C22)^8)+'Income Statement'!O6)*(I$19-'DCF Valuation'!J12))*(1-'DCF Valuation'!C14))+((('Income Statement'!G7*(1+$C22)^8)+'Income Statement'!O6)*'DCF Valuation'!J12)-((('Income Statement'!G7*(1+$C22)^8)+'Income Statement'!O6)*'DCF Valuation'!J11))*(1+'DCF Valuation'!J9)/('DCF Valuation'!C18-'DCF Valuation'!J9))/(1+'DCF Valuation'!C18)^8.5+'DCF Valuation'!C52+'DCF Valuation'!C53+'DCF Valuation'!C54-'DCF Valuation'!C51)/'DCF Valuation'!C58,"N/M")</f>
        <v>158.10782982892835</v>
      </c>
      <c r="J22" s="255">
        <f>IFERROR((SUM('DCF Valuation'!H36:O36)+(((((('Income Statement'!G7*(1+$C22)^8)+'Income Statement'!O6)*(J$19-'DCF Valuation'!J12))*(1-'DCF Valuation'!C14))+((('Income Statement'!G7*(1+$C22)^8)+'Income Statement'!O6)*'DCF Valuation'!J12)-((('Income Statement'!G7*(1+$C22)^8)+'Income Statement'!O6)*'DCF Valuation'!J11))*(1+'DCF Valuation'!J9)/('DCF Valuation'!C18-'DCF Valuation'!J9))/(1+'DCF Valuation'!C18)^8.5+'DCF Valuation'!C52+'DCF Valuation'!C53+'DCF Valuation'!C54-'DCF Valuation'!C51)/'DCF Valuation'!C58,"N/M")</f>
        <v>164.35527678397739</v>
      </c>
    </row>
    <row r="23" spans="2:10" x14ac:dyDescent="0.2">
      <c r="B23" s="257"/>
      <c r="C23" s="266">
        <v>0.14000000000000001</v>
      </c>
      <c r="D23" s="255">
        <f>IFERROR((SUM('DCF Valuation'!H36:O36)+(((((('Income Statement'!G7*(1+$C23)^8)+'Income Statement'!O6)*(D$19-'DCF Valuation'!J12))*(1-'DCF Valuation'!C14))+((('Income Statement'!G7*(1+$C23)^8)+'Income Statement'!O6)*'DCF Valuation'!J12)-((('Income Statement'!G7*(1+$C23)^8)+'Income Statement'!O6)*'DCF Valuation'!J11))*(1+'DCF Valuation'!J9)/('DCF Valuation'!C18-'DCF Valuation'!J9))/(1+'DCF Valuation'!C18)^8.5+'DCF Valuation'!C52+'DCF Valuation'!C53+'DCF Valuation'!C54-'DCF Valuation'!C51)/'DCF Valuation'!C58,"N/M")</f>
        <v>138.50278580682635</v>
      </c>
      <c r="E23" s="255">
        <f>IFERROR((SUM('DCF Valuation'!H36:O36)+(((((('Income Statement'!G7*(1+$C23)^8)+'Income Statement'!O6)*(E$19-'DCF Valuation'!J12))*(1-'DCF Valuation'!C14))+((('Income Statement'!G7*(1+$C23)^8)+'Income Statement'!O6)*'DCF Valuation'!J12)-((('Income Statement'!G7*(1+$C23)^8)+'Income Statement'!O6)*'DCF Valuation'!J11))*(1+'DCF Valuation'!J9)/('DCF Valuation'!C18-'DCF Valuation'!J9))/(1+'DCF Valuation'!C18)^8.5+'DCF Valuation'!C52+'DCF Valuation'!C53+'DCF Valuation'!C54-'DCF Valuation'!C51)/'DCF Valuation'!C58,"N/M")</f>
        <v>144.54685266186928</v>
      </c>
      <c r="F23" s="255">
        <f>IFERROR((SUM('DCF Valuation'!H36:O36)+(((((('Income Statement'!G7*(1+$C23)^8)+'Income Statement'!O6)*(F$19-'DCF Valuation'!J12))*(1-'DCF Valuation'!C14))+((('Income Statement'!G7*(1+$C23)^8)+'Income Statement'!O6)*'DCF Valuation'!J12)-((('Income Statement'!G7*(1+$C23)^8)+'Income Statement'!O6)*'DCF Valuation'!J11))*(1+'DCF Valuation'!J9)/('DCF Valuation'!C18-'DCF Valuation'!J9))/(1+'DCF Valuation'!C18)^8.5+'DCF Valuation'!C52+'DCF Valuation'!C53+'DCF Valuation'!C54-'DCF Valuation'!C51)/'DCF Valuation'!C58,"N/M")</f>
        <v>150.59091951691229</v>
      </c>
      <c r="G23" s="255">
        <f>IFERROR((SUM('DCF Valuation'!H36:O36)+(((((('Income Statement'!G7*(1+$C23)^8)+'Income Statement'!O6)*(G$19-'DCF Valuation'!J12))*(1-'DCF Valuation'!C14))+((('Income Statement'!G7*(1+$C23)^8)+'Income Statement'!O6)*'DCF Valuation'!J12)-((('Income Statement'!G7*(1+$C23)^8)+'Income Statement'!O6)*'DCF Valuation'!J11))*(1+'DCF Valuation'!J9)/('DCF Valuation'!C18-'DCF Valuation'!J9))/(1+'DCF Valuation'!C18)^8.5+'DCF Valuation'!C52+'DCF Valuation'!C53+'DCF Valuation'!C54-'DCF Valuation'!C51)/'DCF Valuation'!C58,"N/M")</f>
        <v>154.21735962993807</v>
      </c>
      <c r="H23" s="255">
        <f>IFERROR((SUM('DCF Valuation'!H36:O36)+(((((('Income Statement'!G7*(1+$C23)^8)+'Income Statement'!O6)*(H$19-'DCF Valuation'!J12))*(1-'DCF Valuation'!C14))+((('Income Statement'!G7*(1+$C23)^8)+'Income Statement'!O6)*'DCF Valuation'!J12)-((('Income Statement'!G7*(1+$C23)^8)+'Income Statement'!O6)*'DCF Valuation'!J11))*(1+'DCF Valuation'!J9)/('DCF Valuation'!C18-'DCF Valuation'!J9))/(1+'DCF Valuation'!C18)^8.5+'DCF Valuation'!C52+'DCF Valuation'!C53+'DCF Valuation'!C54-'DCF Valuation'!C51)/'DCF Valuation'!C58,"N/M")</f>
        <v>157.84379974296382</v>
      </c>
      <c r="I23" s="255">
        <f>IFERROR((SUM('DCF Valuation'!H36:O36)+(((((('Income Statement'!G7*(1+$C23)^8)+'Income Statement'!O6)*(I$19-'DCF Valuation'!J12))*(1-'DCF Valuation'!C14))+((('Income Statement'!G7*(1+$C23)^8)+'Income Statement'!O6)*'DCF Valuation'!J12)-((('Income Statement'!G7*(1+$C23)^8)+'Income Statement'!O6)*'DCF Valuation'!J11))*(1+'DCF Valuation'!J9)/('DCF Valuation'!C18-'DCF Valuation'!J9))/(1+'DCF Valuation'!C18)^8.5+'DCF Valuation'!C52+'DCF Valuation'!C53+'DCF Valuation'!C54-'DCF Valuation'!C51)/'DCF Valuation'!C58,"N/M")</f>
        <v>164.49227328351108</v>
      </c>
      <c r="J23" s="255">
        <f>IFERROR((SUM('DCF Valuation'!H36:O36)+(((((('Income Statement'!G7*(1+$C23)^8)+'Income Statement'!O6)*(J$19-'DCF Valuation'!J12))*(1-'DCF Valuation'!C14))+((('Income Statement'!G7*(1+$C23)^8)+'Income Statement'!O6)*'DCF Valuation'!J12)-((('Income Statement'!G7*(1+$C23)^8)+'Income Statement'!O6)*'DCF Valuation'!J11))*(1+'DCF Valuation'!J9)/('DCF Valuation'!C18-'DCF Valuation'!J9))/(1+'DCF Valuation'!C18)^8.5+'DCF Valuation'!C52+'DCF Valuation'!C53+'DCF Valuation'!C54-'DCF Valuation'!C51)/'DCF Valuation'!C58,"N/M")</f>
        <v>171.14074682405837</v>
      </c>
    </row>
    <row r="24" spans="2:10" x14ac:dyDescent="0.2">
      <c r="B24" s="257"/>
      <c r="C24" s="252">
        <f>C23+0.02</f>
        <v>0.16</v>
      </c>
      <c r="D24" s="255">
        <f>IFERROR((SUM('DCF Valuation'!H36:O36)+(((((('Income Statement'!G7*(1+$C24)^8)+'Income Statement'!O6)*(D$19-'DCF Valuation'!J12))*(1-'DCF Valuation'!C14))+((('Income Statement'!G7*(1+$C24)^8)+'Income Statement'!O6)*'DCF Valuation'!J12)-((('Income Statement'!G7*(1+$C24)^8)+'Income Statement'!O6)*'DCF Valuation'!J11))*(1+'DCF Valuation'!J9)/('DCF Valuation'!C18-'DCF Valuation'!J9))/(1+'DCF Valuation'!C18)^8.5+'DCF Valuation'!C52+'DCF Valuation'!C53+'DCF Valuation'!C54-'DCF Valuation'!C51)/'DCF Valuation'!C58,"N/M")</f>
        <v>143.94888631663969</v>
      </c>
      <c r="E24" s="255">
        <f>IFERROR((SUM('DCF Valuation'!H36:O36)+(((((('Income Statement'!G7*(1+$C24)^8)+'Income Statement'!O6)*(E$19-'DCF Valuation'!J12))*(1-'DCF Valuation'!C14))+((('Income Statement'!G7*(1+$C24)^8)+'Income Statement'!O6)*'DCF Valuation'!J12)-((('Income Statement'!G7*(1+$C24)^8)+'Income Statement'!O6)*'DCF Valuation'!J11))*(1+'DCF Valuation'!J9)/('DCF Valuation'!C18-'DCF Valuation'!J9))/(1+'DCF Valuation'!C18)^8.5+'DCF Valuation'!C52+'DCF Valuation'!C53+'DCF Valuation'!C54-'DCF Valuation'!C51)/'DCF Valuation'!C58,"N/M")</f>
        <v>150.40515323250887</v>
      </c>
      <c r="F24" s="255">
        <f>IFERROR((SUM('DCF Valuation'!H36:O36)+(((((('Income Statement'!G7*(1+$C24)^8)+'Income Statement'!O6)*(F$19-'DCF Valuation'!J12))*(1-'DCF Valuation'!C14))+((('Income Statement'!G7*(1+$C24)^8)+'Income Statement'!O6)*'DCF Valuation'!J12)-((('Income Statement'!G7*(1+$C24)^8)+'Income Statement'!O6)*'DCF Valuation'!J11))*(1+'DCF Valuation'!J9)/('DCF Valuation'!C18-'DCF Valuation'!J9))/(1+'DCF Valuation'!C18)^8.5+'DCF Valuation'!C52+'DCF Valuation'!C53+'DCF Valuation'!C54-'DCF Valuation'!C51)/'DCF Valuation'!C58,"N/M")</f>
        <v>156.86142014837799</v>
      </c>
      <c r="G24" s="255">
        <f>IFERROR((SUM('DCF Valuation'!H36:O36)+(((((('Income Statement'!G7*(1+$C24)^8)+'Income Statement'!O6)*(G$19-'DCF Valuation'!J12))*(1-'DCF Valuation'!C14))+((('Income Statement'!G7*(1+$C24)^8)+'Income Statement'!O6)*'DCF Valuation'!J12)-((('Income Statement'!G7*(1+$C24)^8)+'Income Statement'!O6)*'DCF Valuation'!J11))*(1+'DCF Valuation'!J9)/('DCF Valuation'!C18-'DCF Valuation'!J9))/(1+'DCF Valuation'!C18)^8.5+'DCF Valuation'!C52+'DCF Valuation'!C53+'DCF Valuation'!C54-'DCF Valuation'!C51)/'DCF Valuation'!C58,"N/M")</f>
        <v>160.73518029789949</v>
      </c>
      <c r="H24" s="255">
        <f>IFERROR((SUM('DCF Valuation'!H36:O36)+(((((('Income Statement'!G7*(1+$C24)^8)+'Income Statement'!O6)*(H$19-'DCF Valuation'!J12))*(1-'DCF Valuation'!C14))+((('Income Statement'!G7*(1+$C24)^8)+'Income Statement'!O6)*'DCF Valuation'!J12)-((('Income Statement'!G7*(1+$C24)^8)+'Income Statement'!O6)*'DCF Valuation'!J11))*(1+'DCF Valuation'!J9)/('DCF Valuation'!C18-'DCF Valuation'!J9))/(1+'DCF Valuation'!C18)^8.5+'DCF Valuation'!C52+'DCF Valuation'!C53+'DCF Valuation'!C54-'DCF Valuation'!C51)/'DCF Valuation'!C58,"N/M")</f>
        <v>164.60894044742099</v>
      </c>
      <c r="I24" s="255">
        <f>IFERROR((SUM('DCF Valuation'!H36:O36)+(((((('Income Statement'!G7*(1+$C24)^8)+'Income Statement'!O6)*(I$19-'DCF Valuation'!J12))*(1-'DCF Valuation'!C14))+((('Income Statement'!G7*(1+$C24)^8)+'Income Statement'!O6)*'DCF Valuation'!J12)-((('Income Statement'!G7*(1+$C24)^8)+'Income Statement'!O6)*'DCF Valuation'!J11))*(1+'DCF Valuation'!J9)/('DCF Valuation'!C18-'DCF Valuation'!J9))/(1+'DCF Valuation'!C18)^8.5+'DCF Valuation'!C52+'DCF Valuation'!C53+'DCF Valuation'!C54-'DCF Valuation'!C51)/'DCF Valuation'!C58,"N/M")</f>
        <v>171.71083405487704</v>
      </c>
      <c r="J24" s="255">
        <f>IFERROR((SUM('DCF Valuation'!H36:O36)+(((((('Income Statement'!G7*(1+$C24)^8)+'Income Statement'!O6)*(J$19-'DCF Valuation'!J12))*(1-'DCF Valuation'!C14))+((('Income Statement'!G7*(1+$C24)^8)+'Income Statement'!O6)*'DCF Valuation'!J12)-((('Income Statement'!G7*(1+$C24)^8)+'Income Statement'!O6)*'DCF Valuation'!J11))*(1+'DCF Valuation'!J9)/('DCF Valuation'!C18-'DCF Valuation'!J9))/(1+'DCF Valuation'!C18)^8.5+'DCF Valuation'!C52+'DCF Valuation'!C53+'DCF Valuation'!C54-'DCF Valuation'!C51)/'DCF Valuation'!C58,"N/M")</f>
        <v>178.81272766233306</v>
      </c>
    </row>
    <row r="25" spans="2:10" x14ac:dyDescent="0.2">
      <c r="B25" s="257"/>
      <c r="C25" s="252">
        <f>C24+0.02</f>
        <v>0.18</v>
      </c>
      <c r="D25" s="255">
        <f>IFERROR((SUM('DCF Valuation'!H36:O36)+(((((('Income Statement'!G7*(1+$C25)^8)+'Income Statement'!O6)*(D$19-'DCF Valuation'!J12))*(1-'DCF Valuation'!C14))+((('Income Statement'!G7*(1+$C25)^8)+'Income Statement'!O6)*'DCF Valuation'!J12)-((('Income Statement'!G7*(1+$C25)^8)+'Income Statement'!O6)*'DCF Valuation'!J11))*(1+'DCF Valuation'!J9)/('DCF Valuation'!C18-'DCF Valuation'!J9))/(1+'DCF Valuation'!C18)^8.5+'DCF Valuation'!C52+'DCF Valuation'!C53+'DCF Valuation'!C54-'DCF Valuation'!C51)/'DCF Valuation'!C58,"N/M")</f>
        <v>150.09349192722999</v>
      </c>
      <c r="E25" s="255">
        <f>IFERROR((SUM('DCF Valuation'!H36:O36)+(((((('Income Statement'!G7*(1+$C25)^8)+'Income Statement'!O6)*(E$19-'DCF Valuation'!J12))*(1-'DCF Valuation'!C14))+((('Income Statement'!G7*(1+$C25)^8)+'Income Statement'!O6)*'DCF Valuation'!J12)-((('Income Statement'!G7*(1+$C25)^8)+'Income Statement'!O6)*'DCF Valuation'!J11))*(1+'DCF Valuation'!J9)/('DCF Valuation'!C18-'DCF Valuation'!J9))/(1+'DCF Valuation'!C18)^8.5+'DCF Valuation'!C52+'DCF Valuation'!C53+'DCF Valuation'!C54-'DCF Valuation'!C51)/'DCF Valuation'!C58,"N/M")</f>
        <v>157.01482679435608</v>
      </c>
      <c r="F25" s="255">
        <f>IFERROR((SUM('DCF Valuation'!H36:O36)+(((((('Income Statement'!G7*(1+$C25)^8)+'Income Statement'!O6)*(F$19-'DCF Valuation'!J12))*(1-'DCF Valuation'!C14))+((('Income Statement'!G7*(1+$C25)^8)+'Income Statement'!O6)*'DCF Valuation'!J12)-((('Income Statement'!G7*(1+$C25)^8)+'Income Statement'!O6)*'DCF Valuation'!J11))*(1+'DCF Valuation'!J9)/('DCF Valuation'!C18-'DCF Valuation'!J9))/(1+'DCF Valuation'!C18)^8.5+'DCF Valuation'!C52+'DCF Valuation'!C53+'DCF Valuation'!C54-'DCF Valuation'!C51)/'DCF Valuation'!C58,"N/M")</f>
        <v>163.93616166148215</v>
      </c>
      <c r="G25" s="255">
        <f>IFERROR((SUM('DCF Valuation'!H36:O36)+(((((('Income Statement'!G7*(1+$C25)^8)+'Income Statement'!O6)*(G$19-'DCF Valuation'!J12))*(1-'DCF Valuation'!C14))+((('Income Statement'!G7*(1+$C25)^8)+'Income Statement'!O6)*'DCF Valuation'!J12)-((('Income Statement'!G7*(1+$C25)^8)+'Income Statement'!O6)*'DCF Valuation'!J11))*(1+'DCF Valuation'!J9)/('DCF Valuation'!C18-'DCF Valuation'!J9))/(1+'DCF Valuation'!C18)^8.5+'DCF Valuation'!C52+'DCF Valuation'!C53+'DCF Valuation'!C54-'DCF Valuation'!C51)/'DCF Valuation'!C58,"N/M")</f>
        <v>168.08896258175778</v>
      </c>
      <c r="H25" s="255">
        <f>IFERROR((SUM('DCF Valuation'!H36:O36)+(((((('Income Statement'!G7*(1+$C25)^8)+'Income Statement'!O6)*(H$19-'DCF Valuation'!J12))*(1-'DCF Valuation'!C14))+((('Income Statement'!G7*(1+$C25)^8)+'Income Statement'!O6)*'DCF Valuation'!J12)-((('Income Statement'!G7*(1+$C25)^8)+'Income Statement'!O6)*'DCF Valuation'!J11))*(1+'DCF Valuation'!J9)/('DCF Valuation'!C18-'DCF Valuation'!J9))/(1+'DCF Valuation'!C18)^8.5+'DCF Valuation'!C52+'DCF Valuation'!C53+'DCF Valuation'!C54-'DCF Valuation'!C51)/'DCF Valuation'!C58,"N/M")</f>
        <v>172.24176350203345</v>
      </c>
      <c r="I25" s="255">
        <f>IFERROR((SUM('DCF Valuation'!H36:O36)+(((((('Income Statement'!G7*(1+$C25)^8)+'Income Statement'!O6)*(I$19-'DCF Valuation'!J12))*(1-'DCF Valuation'!C14))+((('Income Statement'!G7*(1+$C25)^8)+'Income Statement'!O6)*'DCF Valuation'!J12)-((('Income Statement'!G7*(1+$C25)^8)+'Income Statement'!O6)*'DCF Valuation'!J11))*(1+'DCF Valuation'!J9)/('DCF Valuation'!C18-'DCF Valuation'!J9))/(1+'DCF Valuation'!C18)^8.5+'DCF Valuation'!C52+'DCF Valuation'!C53+'DCF Valuation'!C54-'DCF Valuation'!C51)/'DCF Valuation'!C58,"N/M")</f>
        <v>179.85523185587212</v>
      </c>
      <c r="J25" s="255">
        <f>IFERROR((SUM('DCF Valuation'!H36:O36)+(((((('Income Statement'!G7*(1+$C25)^8)+'Income Statement'!O6)*(J$19-'DCF Valuation'!J12))*(1-'DCF Valuation'!C14))+((('Income Statement'!G7*(1+$C25)^8)+'Income Statement'!O6)*'DCF Valuation'!J12)-((('Income Statement'!G7*(1+$C25)^8)+'Income Statement'!O6)*'DCF Valuation'!J11))*(1+'DCF Valuation'!J9)/('DCF Valuation'!C18-'DCF Valuation'!J9))/(1+'DCF Valuation'!C18)^8.5+'DCF Valuation'!C52+'DCF Valuation'!C53+'DCF Valuation'!C54-'DCF Valuation'!C51)/'DCF Valuation'!C58,"N/M")</f>
        <v>187.46870020971079</v>
      </c>
    </row>
    <row r="26" spans="2:10" x14ac:dyDescent="0.2">
      <c r="B26" s="12"/>
      <c r="C26" s="12"/>
      <c r="D26" s="12"/>
      <c r="E26" s="12"/>
      <c r="F26" s="12"/>
      <c r="G26" s="12"/>
      <c r="H26" s="12"/>
      <c r="I26" s="12"/>
      <c r="J26" s="12"/>
    </row>
    <row r="27" spans="2:10" x14ac:dyDescent="0.2">
      <c r="B27" s="257" t="s">
        <v>455</v>
      </c>
      <c r="C27" s="257"/>
      <c r="D27" s="257"/>
      <c r="E27" s="257"/>
      <c r="F27" s="257"/>
      <c r="G27" s="257"/>
      <c r="H27" s="257"/>
      <c r="I27" s="257"/>
      <c r="J27" s="257"/>
    </row>
    <row r="28" spans="2:10" x14ac:dyDescent="0.2">
      <c r="B28" s="273" t="s">
        <v>456</v>
      </c>
      <c r="C28" s="258">
        <f>('Precedent Transactions'!D21+'Precedent Transactions'!D22)/2</f>
        <v>160.84499600014607</v>
      </c>
      <c r="D28" s="259">
        <v>8</v>
      </c>
      <c r="E28" s="259">
        <v>10</v>
      </c>
      <c r="F28" s="259">
        <v>12</v>
      </c>
      <c r="G28" s="260">
        <v>14.3</v>
      </c>
      <c r="H28" s="259">
        <v>16</v>
      </c>
      <c r="I28" s="259">
        <v>18</v>
      </c>
      <c r="J28" s="259">
        <v>20</v>
      </c>
    </row>
    <row r="29" spans="2:10" x14ac:dyDescent="0.2">
      <c r="B29" s="257"/>
      <c r="C29" s="259">
        <v>4</v>
      </c>
      <c r="D29" s="255">
        <f>IFERROR(AVERAGE((('Income Statement'!G8*$C29+'DCF Valuation'!C52+'DCF Valuation'!C53+'DCF Valuation'!C54-'DCF Valuation'!C51)/'DCF Valuation'!C58),(('Income Statement'!G25*D$28+'DCF Valuation'!C52+'DCF Valuation'!C53+'DCF Valuation'!C54-'DCF Valuation'!C51)/'DCF Valuation'!C58)),"N/M")</f>
        <v>96.308309324740108</v>
      </c>
      <c r="E29" s="255">
        <f>IFERROR(AVERAGE((('Income Statement'!G8*$C29+'DCF Valuation'!C52+'DCF Valuation'!C53+'DCF Valuation'!C54-'DCF Valuation'!C51)/'DCF Valuation'!C58),(('Income Statement'!G25*E$28+'DCF Valuation'!C52+'DCF Valuation'!C53+'DCF Valuation'!C54-'DCF Valuation'!C51)/'DCF Valuation'!C58)),"N/M")</f>
        <v>105.95515524238843</v>
      </c>
      <c r="F29" s="255">
        <f>IFERROR(AVERAGE((('Income Statement'!G8*$C29+'DCF Valuation'!C52+'DCF Valuation'!C53+'DCF Valuation'!C54-'DCF Valuation'!C51)/'DCF Valuation'!C58),(('Income Statement'!G25*F$28+'DCF Valuation'!C52+'DCF Valuation'!C53+'DCF Valuation'!C54-'DCF Valuation'!C51)/'DCF Valuation'!C58)),"N/M")</f>
        <v>115.60200116003675</v>
      </c>
      <c r="G29" s="255">
        <f>IFERROR(AVERAGE((('Income Statement'!G8*$C29+'DCF Valuation'!C52+'DCF Valuation'!C53+'DCF Valuation'!C54-'DCF Valuation'!C51)/'DCF Valuation'!C58),(('Income Statement'!G25*G$28+'DCF Valuation'!C52+'DCF Valuation'!C53+'DCF Valuation'!C54-'DCF Valuation'!C51)/'DCF Valuation'!C58)),"N/M")</f>
        <v>126.69587396533234</v>
      </c>
      <c r="H29" s="255">
        <f>IFERROR(AVERAGE((('Income Statement'!G8*$C29+'DCF Valuation'!C52+'DCF Valuation'!C53+'DCF Valuation'!C54-'DCF Valuation'!C51)/'DCF Valuation'!C58),(('Income Statement'!G25*H$28+'DCF Valuation'!C52+'DCF Valuation'!C53+'DCF Valuation'!C54-'DCF Valuation'!C51)/'DCF Valuation'!C58)),"N/M")</f>
        <v>134.89569299533341</v>
      </c>
      <c r="I29" s="255">
        <f>IFERROR(AVERAGE((('Income Statement'!G8*$C29+'DCF Valuation'!C52+'DCF Valuation'!C53+'DCF Valuation'!C54-'DCF Valuation'!C51)/'DCF Valuation'!C58),(('Income Statement'!G25*I$28+'DCF Valuation'!C52+'DCF Valuation'!C53+'DCF Valuation'!C54-'DCF Valuation'!C51)/'DCF Valuation'!C58)),"N/M")</f>
        <v>144.54253891298171</v>
      </c>
      <c r="J29" s="255">
        <f>IFERROR(AVERAGE((('Income Statement'!G8*$C29+'DCF Valuation'!C52+'DCF Valuation'!C53+'DCF Valuation'!C54-'DCF Valuation'!C51)/'DCF Valuation'!C58),(('Income Statement'!G25*J$28+'DCF Valuation'!C52+'DCF Valuation'!C53+'DCF Valuation'!C54-'DCF Valuation'!C51)/'DCF Valuation'!C58)),"N/M")</f>
        <v>154.18938483063002</v>
      </c>
    </row>
    <row r="30" spans="2:10" x14ac:dyDescent="0.2">
      <c r="B30" s="257"/>
      <c r="C30" s="259">
        <v>5</v>
      </c>
      <c r="D30" s="255">
        <f>IFERROR(AVERAGE((('Income Statement'!G8*$C30+'DCF Valuation'!C52+'DCF Valuation'!C53+'DCF Valuation'!C54-'DCF Valuation'!C51)/'DCF Valuation'!C58),(('Income Statement'!G25*D$28+'DCF Valuation'!C52+'DCF Valuation'!C53+'DCF Valuation'!C54-'DCF Valuation'!C51)/'DCF Valuation'!C58)),"N/M")</f>
        <v>110.17600022179721</v>
      </c>
      <c r="E30" s="255">
        <f>IFERROR(AVERAGE((('Income Statement'!G8*$C30+'DCF Valuation'!C52+'DCF Valuation'!C53+'DCF Valuation'!C54-'DCF Valuation'!C51)/'DCF Valuation'!C58),(('Income Statement'!G25*E$28+'DCF Valuation'!C52+'DCF Valuation'!C53+'DCF Valuation'!C54-'DCF Valuation'!C51)/'DCF Valuation'!C58)),"N/M")</f>
        <v>119.82284613944555</v>
      </c>
      <c r="F30" s="255">
        <f>IFERROR(AVERAGE((('Income Statement'!G8*$C30+'DCF Valuation'!C52+'DCF Valuation'!C53+'DCF Valuation'!C54-'DCF Valuation'!C51)/'DCF Valuation'!C58),(('Income Statement'!G25*F$28+'DCF Valuation'!C52+'DCF Valuation'!C53+'DCF Valuation'!C54-'DCF Valuation'!C51)/'DCF Valuation'!C58)),"N/M")</f>
        <v>129.46969205709385</v>
      </c>
      <c r="G30" s="255">
        <f>IFERROR(AVERAGE((('Income Statement'!G8*$C30+'DCF Valuation'!C52+'DCF Valuation'!C53+'DCF Valuation'!C54-'DCF Valuation'!C51)/'DCF Valuation'!C58),(('Income Statement'!G25*G$28+'DCF Valuation'!C52+'DCF Valuation'!C53+'DCF Valuation'!C54-'DCF Valuation'!C51)/'DCF Valuation'!C58)),"N/M")</f>
        <v>140.56356486238946</v>
      </c>
      <c r="H30" s="255">
        <f>IFERROR(AVERAGE((('Income Statement'!G8*$C30+'DCF Valuation'!C52+'DCF Valuation'!C53+'DCF Valuation'!C54-'DCF Valuation'!C51)/'DCF Valuation'!C58),(('Income Statement'!G25*H$28+'DCF Valuation'!C52+'DCF Valuation'!C53+'DCF Valuation'!C54-'DCF Valuation'!C51)/'DCF Valuation'!C58)),"N/M")</f>
        <v>148.76338389239049</v>
      </c>
      <c r="I30" s="255">
        <f>IFERROR(AVERAGE((('Income Statement'!G8*$C30+'DCF Valuation'!C52+'DCF Valuation'!C53+'DCF Valuation'!C54-'DCF Valuation'!C51)/'DCF Valuation'!C58),(('Income Statement'!G25*I$28+'DCF Valuation'!C52+'DCF Valuation'!C53+'DCF Valuation'!C54-'DCF Valuation'!C51)/'DCF Valuation'!C58)),"N/M")</f>
        <v>158.41022981003883</v>
      </c>
      <c r="J30" s="255">
        <f>IFERROR(AVERAGE((('Income Statement'!G8*$C30+'DCF Valuation'!C52+'DCF Valuation'!C53+'DCF Valuation'!C54-'DCF Valuation'!C51)/'DCF Valuation'!C58),(('Income Statement'!G25*J$28+'DCF Valuation'!C52+'DCF Valuation'!C53+'DCF Valuation'!C54-'DCF Valuation'!C51)/'DCF Valuation'!C58)),"N/M")</f>
        <v>168.05707572768713</v>
      </c>
    </row>
    <row r="31" spans="2:10" x14ac:dyDescent="0.2">
      <c r="B31" s="257"/>
      <c r="C31" s="259">
        <v>6</v>
      </c>
      <c r="D31" s="255">
        <f>IFERROR(AVERAGE((('Income Statement'!G8*$C31+'DCF Valuation'!C52+'DCF Valuation'!C53+'DCF Valuation'!C54-'DCF Valuation'!C51)/'DCF Valuation'!C58),(('Income Statement'!G25*D$28+'DCF Valuation'!C52+'DCF Valuation'!C53+'DCF Valuation'!C54-'DCF Valuation'!C51)/'DCF Valuation'!C58)),"N/M")</f>
        <v>124.04369111885433</v>
      </c>
      <c r="E31" s="255">
        <f>IFERROR(AVERAGE((('Income Statement'!G8*$C31+'DCF Valuation'!C52+'DCF Valuation'!C53+'DCF Valuation'!C54-'DCF Valuation'!C51)/'DCF Valuation'!C58),(('Income Statement'!G25*E$28+'DCF Valuation'!C52+'DCF Valuation'!C53+'DCF Valuation'!C54-'DCF Valuation'!C51)/'DCF Valuation'!C58)),"N/M")</f>
        <v>133.69053703650263</v>
      </c>
      <c r="F31" s="255">
        <f>IFERROR(AVERAGE((('Income Statement'!G8*$C31+'DCF Valuation'!C52+'DCF Valuation'!C53+'DCF Valuation'!C54-'DCF Valuation'!C51)/'DCF Valuation'!C58),(('Income Statement'!G25*F$28+'DCF Valuation'!C52+'DCF Valuation'!C53+'DCF Valuation'!C54-'DCF Valuation'!C51)/'DCF Valuation'!C58)),"N/M")</f>
        <v>143.33738295415097</v>
      </c>
      <c r="G31" s="255">
        <f>IFERROR(AVERAGE((('Income Statement'!G8*$C31+'DCF Valuation'!C52+'DCF Valuation'!C53+'DCF Valuation'!C54-'DCF Valuation'!C51)/'DCF Valuation'!C58),(('Income Statement'!G25*G$28+'DCF Valuation'!C52+'DCF Valuation'!C53+'DCF Valuation'!C54-'DCF Valuation'!C51)/'DCF Valuation'!C58)),"N/M")</f>
        <v>154.43125575944654</v>
      </c>
      <c r="H31" s="255">
        <f>IFERROR(AVERAGE((('Income Statement'!G8*$C31+'DCF Valuation'!C52+'DCF Valuation'!C53+'DCF Valuation'!C54-'DCF Valuation'!C51)/'DCF Valuation'!C58),(('Income Statement'!G25*H$28+'DCF Valuation'!C52+'DCF Valuation'!C53+'DCF Valuation'!C54-'DCF Valuation'!C51)/'DCF Valuation'!C58)),"N/M")</f>
        <v>162.63107478944761</v>
      </c>
      <c r="I31" s="255">
        <f>IFERROR(AVERAGE((('Income Statement'!G8*$C31+'DCF Valuation'!C52+'DCF Valuation'!C53+'DCF Valuation'!C54-'DCF Valuation'!C51)/'DCF Valuation'!C58),(('Income Statement'!G25*I$28+'DCF Valuation'!C52+'DCF Valuation'!C53+'DCF Valuation'!C54-'DCF Valuation'!C51)/'DCF Valuation'!C58)),"N/M")</f>
        <v>172.27792070709592</v>
      </c>
      <c r="J31" s="255">
        <f>IFERROR(AVERAGE((('Income Statement'!G8*$C31+'DCF Valuation'!C52+'DCF Valuation'!C53+'DCF Valuation'!C54-'DCF Valuation'!C51)/'DCF Valuation'!C58),(('Income Statement'!G25*J$28+'DCF Valuation'!C52+'DCF Valuation'!C53+'DCF Valuation'!C54-'DCF Valuation'!C51)/'DCF Valuation'!C58)),"N/M")</f>
        <v>181.92476662474422</v>
      </c>
    </row>
    <row r="32" spans="2:10" x14ac:dyDescent="0.2">
      <c r="B32" s="257"/>
      <c r="C32" s="260">
        <v>6.5</v>
      </c>
      <c r="D32" s="255">
        <f>IFERROR(AVERAGE((('Income Statement'!G8*$C32+'DCF Valuation'!C52+'DCF Valuation'!C53+'DCF Valuation'!C54-'DCF Valuation'!C51)/'DCF Valuation'!C58),(('Income Statement'!G25*D$28+'DCF Valuation'!C52+'DCF Valuation'!C53+'DCF Valuation'!C54-'DCF Valuation'!C51)/'DCF Valuation'!C58)),"N/M")</f>
        <v>130.97753656738286</v>
      </c>
      <c r="E32" s="255">
        <f>IFERROR(AVERAGE((('Income Statement'!G8*$C32+'DCF Valuation'!C52+'DCF Valuation'!C53+'DCF Valuation'!C54-'DCF Valuation'!C51)/'DCF Valuation'!C58),(('Income Statement'!G25*E$28+'DCF Valuation'!C52+'DCF Valuation'!C53+'DCF Valuation'!C54-'DCF Valuation'!C51)/'DCF Valuation'!C58)),"N/M")</f>
        <v>140.62438248503119</v>
      </c>
      <c r="F32" s="255">
        <f>IFERROR(AVERAGE((('Income Statement'!G8*$C32+'DCF Valuation'!C52+'DCF Valuation'!C53+'DCF Valuation'!C54-'DCF Valuation'!C51)/'DCF Valuation'!C58),(('Income Statement'!G25*F$28+'DCF Valuation'!C52+'DCF Valuation'!C53+'DCF Valuation'!C54-'DCF Valuation'!C51)/'DCF Valuation'!C58)),"N/M")</f>
        <v>150.2712284026795</v>
      </c>
      <c r="G32" s="255">
        <f>IFERROR(AVERAGE((('Income Statement'!G8*$C32+'DCF Valuation'!C52+'DCF Valuation'!C53+'DCF Valuation'!C54-'DCF Valuation'!C51)/'DCF Valuation'!C58),(('Income Statement'!G25*G$28+'DCF Valuation'!C52+'DCF Valuation'!C53+'DCF Valuation'!C54-'DCF Valuation'!C51)/'DCF Valuation'!C58)),"N/M")</f>
        <v>161.3651012079751</v>
      </c>
      <c r="H32" s="255">
        <f>IFERROR(AVERAGE((('Income Statement'!G8*$C32+'DCF Valuation'!C52+'DCF Valuation'!C53+'DCF Valuation'!C54-'DCF Valuation'!C51)/'DCF Valuation'!C58),(('Income Statement'!G25*H$28+'DCF Valuation'!C52+'DCF Valuation'!C53+'DCF Valuation'!C54-'DCF Valuation'!C51)/'DCF Valuation'!C58)),"N/M")</f>
        <v>169.56492023797614</v>
      </c>
      <c r="I32" s="255">
        <f>IFERROR(AVERAGE((('Income Statement'!G8*$C32+'DCF Valuation'!C52+'DCF Valuation'!C53+'DCF Valuation'!C54-'DCF Valuation'!C51)/'DCF Valuation'!C58),(('Income Statement'!G25*I$28+'DCF Valuation'!C52+'DCF Valuation'!C53+'DCF Valuation'!C54-'DCF Valuation'!C51)/'DCF Valuation'!C58)),"N/M")</f>
        <v>179.21176615562447</v>
      </c>
      <c r="J32" s="255">
        <f>IFERROR(AVERAGE((('Income Statement'!G8*$C32+'DCF Valuation'!C52+'DCF Valuation'!C53+'DCF Valuation'!C54-'DCF Valuation'!C51)/'DCF Valuation'!C58),(('Income Statement'!G25*J$28+'DCF Valuation'!C52+'DCF Valuation'!C53+'DCF Valuation'!C54-'DCF Valuation'!C51)/'DCF Valuation'!C58)),"N/M")</f>
        <v>188.85861207327278</v>
      </c>
    </row>
    <row r="33" spans="2:10" x14ac:dyDescent="0.2">
      <c r="B33" s="257"/>
      <c r="C33" s="259">
        <v>7</v>
      </c>
      <c r="D33" s="255">
        <f>IFERROR(AVERAGE((('Income Statement'!G8*$C33+'DCF Valuation'!C52+'DCF Valuation'!C53+'DCF Valuation'!C54-'DCF Valuation'!C51)/'DCF Valuation'!C58),(('Income Statement'!G25*D$28+'DCF Valuation'!C52+'DCF Valuation'!C53+'DCF Valuation'!C54-'DCF Valuation'!C51)/'DCF Valuation'!C58)),"N/M")</f>
        <v>137.91138201591141</v>
      </c>
      <c r="E33" s="255">
        <f>IFERROR(AVERAGE((('Income Statement'!G8*$C33+'DCF Valuation'!C52+'DCF Valuation'!C53+'DCF Valuation'!C54-'DCF Valuation'!C51)/'DCF Valuation'!C58),(('Income Statement'!G25*E$28+'DCF Valuation'!C52+'DCF Valuation'!C53+'DCF Valuation'!C54-'DCF Valuation'!C51)/'DCF Valuation'!C58)),"N/M")</f>
        <v>147.55822793355975</v>
      </c>
      <c r="F33" s="255">
        <f>IFERROR(AVERAGE((('Income Statement'!G8*$C33+'DCF Valuation'!C52+'DCF Valuation'!C53+'DCF Valuation'!C54-'DCF Valuation'!C51)/'DCF Valuation'!C58),(('Income Statement'!G25*F$28+'DCF Valuation'!C52+'DCF Valuation'!C53+'DCF Valuation'!C54-'DCF Valuation'!C51)/'DCF Valuation'!C58)),"N/M")</f>
        <v>157.20507385120806</v>
      </c>
      <c r="G33" s="255">
        <f>IFERROR(AVERAGE((('Income Statement'!G8*$C33+'DCF Valuation'!C52+'DCF Valuation'!C53+'DCF Valuation'!C54-'DCF Valuation'!C51)/'DCF Valuation'!C58),(('Income Statement'!G25*G$28+'DCF Valuation'!C52+'DCF Valuation'!C53+'DCF Valuation'!C54-'DCF Valuation'!C51)/'DCF Valuation'!C58)),"N/M")</f>
        <v>168.29894665650363</v>
      </c>
      <c r="H33" s="255">
        <f>IFERROR(AVERAGE((('Income Statement'!G8*$C33+'DCF Valuation'!C52+'DCF Valuation'!C53+'DCF Valuation'!C54-'DCF Valuation'!C51)/'DCF Valuation'!C58),(('Income Statement'!G25*H$28+'DCF Valuation'!C52+'DCF Valuation'!C53+'DCF Valuation'!C54-'DCF Valuation'!C51)/'DCF Valuation'!C58)),"N/M")</f>
        <v>176.49876568650473</v>
      </c>
      <c r="I33" s="255">
        <f>IFERROR(AVERAGE((('Income Statement'!G8*$C33+'DCF Valuation'!C52+'DCF Valuation'!C53+'DCF Valuation'!C54-'DCF Valuation'!C51)/'DCF Valuation'!C58),(('Income Statement'!G25*I$28+'DCF Valuation'!C52+'DCF Valuation'!C53+'DCF Valuation'!C54-'DCF Valuation'!C51)/'DCF Valuation'!C58)),"N/M")</f>
        <v>186.14561160415303</v>
      </c>
      <c r="J33" s="255">
        <f>IFERROR(AVERAGE((('Income Statement'!G8*$C33+'DCF Valuation'!C52+'DCF Valuation'!C53+'DCF Valuation'!C54-'DCF Valuation'!C51)/'DCF Valuation'!C58),(('Income Statement'!G25*J$28+'DCF Valuation'!C52+'DCF Valuation'!C53+'DCF Valuation'!C54-'DCF Valuation'!C51)/'DCF Valuation'!C58)),"N/M")</f>
        <v>195.79245752180134</v>
      </c>
    </row>
    <row r="34" spans="2:10" x14ac:dyDescent="0.2">
      <c r="B34" s="257"/>
      <c r="C34" s="259">
        <v>8</v>
      </c>
      <c r="D34" s="255">
        <f>IFERROR(AVERAGE((('Income Statement'!G8*$C34+'DCF Valuation'!C52+'DCF Valuation'!C53+'DCF Valuation'!C54-'DCF Valuation'!C51)/'DCF Valuation'!C58),(('Income Statement'!G25*D$28+'DCF Valuation'!C52+'DCF Valuation'!C53+'DCF Valuation'!C54-'DCF Valuation'!C51)/'DCF Valuation'!C58)),"N/M")</f>
        <v>151.7790729129685</v>
      </c>
      <c r="E34" s="255">
        <f>IFERROR(AVERAGE((('Income Statement'!G8*$C34+'DCF Valuation'!C52+'DCF Valuation'!C53+'DCF Valuation'!C54-'DCF Valuation'!C51)/'DCF Valuation'!C58),(('Income Statement'!G25*E$28+'DCF Valuation'!C52+'DCF Valuation'!C53+'DCF Valuation'!C54-'DCF Valuation'!C51)/'DCF Valuation'!C58)),"N/M")</f>
        <v>161.42591883061684</v>
      </c>
      <c r="F34" s="255">
        <f>IFERROR(AVERAGE((('Income Statement'!G8*$C34+'DCF Valuation'!C52+'DCF Valuation'!C53+'DCF Valuation'!C54-'DCF Valuation'!C51)/'DCF Valuation'!C58),(('Income Statement'!G25*F$28+'DCF Valuation'!C52+'DCF Valuation'!C53+'DCF Valuation'!C54-'DCF Valuation'!C51)/'DCF Valuation'!C58)),"N/M")</f>
        <v>171.07276474826514</v>
      </c>
      <c r="G34" s="255">
        <f>IFERROR(AVERAGE((('Income Statement'!G8*$C34+'DCF Valuation'!C52+'DCF Valuation'!C53+'DCF Valuation'!C54-'DCF Valuation'!C51)/'DCF Valuation'!C58),(('Income Statement'!G25*G$28+'DCF Valuation'!C52+'DCF Valuation'!C53+'DCF Valuation'!C54-'DCF Valuation'!C51)/'DCF Valuation'!C58)),"N/M")</f>
        <v>182.16663755356075</v>
      </c>
      <c r="H34" s="255">
        <f>IFERROR(AVERAGE((('Income Statement'!G8*$C34+'DCF Valuation'!C52+'DCF Valuation'!C53+'DCF Valuation'!C54-'DCF Valuation'!C51)/'DCF Valuation'!C58),(('Income Statement'!G25*H$28+'DCF Valuation'!C52+'DCF Valuation'!C53+'DCF Valuation'!C54-'DCF Valuation'!C51)/'DCF Valuation'!C58)),"N/M")</f>
        <v>190.36645658356179</v>
      </c>
      <c r="I34" s="255">
        <f>IFERROR(AVERAGE((('Income Statement'!G8*$C34+'DCF Valuation'!C52+'DCF Valuation'!C53+'DCF Valuation'!C54-'DCF Valuation'!C51)/'DCF Valuation'!C58),(('Income Statement'!G25*I$28+'DCF Valuation'!C52+'DCF Valuation'!C53+'DCF Valuation'!C54-'DCF Valuation'!C51)/'DCF Valuation'!C58)),"N/M")</f>
        <v>200.01330250121012</v>
      </c>
      <c r="J34" s="255">
        <f>IFERROR(AVERAGE((('Income Statement'!G8*$C34+'DCF Valuation'!C52+'DCF Valuation'!C53+'DCF Valuation'!C54-'DCF Valuation'!C51)/'DCF Valuation'!C58),(('Income Statement'!G25*J$28+'DCF Valuation'!C52+'DCF Valuation'!C53+'DCF Valuation'!C54-'DCF Valuation'!C51)/'DCF Valuation'!C58)),"N/M")</f>
        <v>209.66014841885843</v>
      </c>
    </row>
    <row r="35" spans="2:10" x14ac:dyDescent="0.2">
      <c r="B35" s="257"/>
      <c r="C35" s="259">
        <v>9</v>
      </c>
      <c r="D35" s="255">
        <f>IFERROR(AVERAGE((('Income Statement'!G8*$C35+'DCF Valuation'!C52+'DCF Valuation'!C53+'DCF Valuation'!C54-'DCF Valuation'!C51)/'DCF Valuation'!C58),(('Income Statement'!G25*D$28+'DCF Valuation'!C52+'DCF Valuation'!C53+'DCF Valuation'!C54-'DCF Valuation'!C51)/'DCF Valuation'!C58)),"N/M")</f>
        <v>165.64676381002562</v>
      </c>
      <c r="E35" s="255">
        <f>IFERROR(AVERAGE((('Income Statement'!G8*$C35+'DCF Valuation'!C52+'DCF Valuation'!C53+'DCF Valuation'!C54-'DCF Valuation'!C51)/'DCF Valuation'!C58),(('Income Statement'!G25*E$28+'DCF Valuation'!C52+'DCF Valuation'!C53+'DCF Valuation'!C54-'DCF Valuation'!C51)/'DCF Valuation'!C58)),"N/M")</f>
        <v>175.29360972767392</v>
      </c>
      <c r="F35" s="255">
        <f>IFERROR(AVERAGE((('Income Statement'!G8*$C35+'DCF Valuation'!C52+'DCF Valuation'!C53+'DCF Valuation'!C54-'DCF Valuation'!C51)/'DCF Valuation'!C58),(('Income Statement'!G25*F$28+'DCF Valuation'!C52+'DCF Valuation'!C53+'DCF Valuation'!C54-'DCF Valuation'!C51)/'DCF Valuation'!C58)),"N/M")</f>
        <v>184.94045564532226</v>
      </c>
      <c r="G35" s="255">
        <f>IFERROR(AVERAGE((('Income Statement'!G8*$C35+'DCF Valuation'!C52+'DCF Valuation'!C53+'DCF Valuation'!C54-'DCF Valuation'!C51)/'DCF Valuation'!C58),(('Income Statement'!G25*G$28+'DCF Valuation'!C52+'DCF Valuation'!C53+'DCF Valuation'!C54-'DCF Valuation'!C51)/'DCF Valuation'!C58)),"N/M")</f>
        <v>196.03432845061783</v>
      </c>
      <c r="H35" s="255">
        <f>IFERROR(AVERAGE((('Income Statement'!G8*$C35+'DCF Valuation'!C52+'DCF Valuation'!C53+'DCF Valuation'!C54-'DCF Valuation'!C51)/'DCF Valuation'!C58),(('Income Statement'!G25*H$28+'DCF Valuation'!C52+'DCF Valuation'!C53+'DCF Valuation'!C54-'DCF Valuation'!C51)/'DCF Valuation'!C58)),"N/M")</f>
        <v>204.2341474806189</v>
      </c>
      <c r="I35" s="255">
        <f>IFERROR(AVERAGE((('Income Statement'!G8*$C35+'DCF Valuation'!C52+'DCF Valuation'!C53+'DCF Valuation'!C54-'DCF Valuation'!C51)/'DCF Valuation'!C58),(('Income Statement'!G25*I$28+'DCF Valuation'!C52+'DCF Valuation'!C53+'DCF Valuation'!C54-'DCF Valuation'!C51)/'DCF Valuation'!C58)),"N/M")</f>
        <v>213.88099339826721</v>
      </c>
      <c r="J35" s="255">
        <f>IFERROR(AVERAGE((('Income Statement'!G8*$C35+'DCF Valuation'!C52+'DCF Valuation'!C53+'DCF Valuation'!C54-'DCF Valuation'!C51)/'DCF Valuation'!C58),(('Income Statement'!G25*J$28+'DCF Valuation'!C52+'DCF Valuation'!C53+'DCF Valuation'!C54-'DCF Valuation'!C51)/'DCF Valuation'!C58)),"N/M")</f>
        <v>223.52783931591551</v>
      </c>
    </row>
    <row r="36" spans="2:10" x14ac:dyDescent="0.2">
      <c r="B36" s="12"/>
      <c r="C36" s="12"/>
      <c r="D36" s="12"/>
      <c r="E36" s="12"/>
      <c r="F36" s="12"/>
      <c r="G36" s="12"/>
      <c r="H36" s="12"/>
      <c r="I36" s="12"/>
      <c r="J36" s="12"/>
    </row>
    <row r="37" spans="2:10" x14ac:dyDescent="0.2">
      <c r="B37" s="12"/>
      <c r="C37" s="12"/>
      <c r="D37" s="12"/>
      <c r="E37" s="12"/>
      <c r="F37" s="12"/>
      <c r="G37" s="12"/>
      <c r="H37" s="12"/>
      <c r="I37" s="12"/>
      <c r="J37" s="12"/>
    </row>
    <row r="38" spans="2:10" x14ac:dyDescent="0.2">
      <c r="B38" s="51" t="s">
        <v>467</v>
      </c>
      <c r="C38" s="12"/>
      <c r="D38" s="12"/>
      <c r="E38" s="12"/>
      <c r="F38" s="12"/>
      <c r="G38" s="12"/>
      <c r="H38" s="12"/>
      <c r="I38" s="12"/>
      <c r="J38" s="12"/>
    </row>
    <row r="39" spans="2:10" x14ac:dyDescent="0.2">
      <c r="B39" s="278" t="s">
        <v>462</v>
      </c>
      <c r="C39" s="12"/>
      <c r="D39" s="12"/>
      <c r="E39" s="12"/>
      <c r="F39" s="12"/>
      <c r="G39" s="12"/>
      <c r="H39" s="12"/>
      <c r="I39" s="12"/>
      <c r="J39" s="12"/>
    </row>
    <row r="40" spans="2:10" x14ac:dyDescent="0.2">
      <c r="B40" s="52" t="s">
        <v>463</v>
      </c>
      <c r="C40" s="12"/>
      <c r="D40" s="12"/>
      <c r="E40" s="12"/>
      <c r="F40" s="12"/>
      <c r="G40" s="12"/>
      <c r="H40" s="12"/>
      <c r="I40" s="12"/>
      <c r="J40" s="12"/>
    </row>
    <row r="41" spans="2:10" x14ac:dyDescent="0.2">
      <c r="B41" s="279" t="s">
        <v>464</v>
      </c>
      <c r="C41" s="12"/>
      <c r="D41" s="12"/>
      <c r="E41" s="73"/>
      <c r="F41" s="12"/>
      <c r="G41" s="12"/>
      <c r="H41" s="12"/>
      <c r="I41" s="12"/>
      <c r="J41" s="12"/>
    </row>
    <row r="42" spans="2:10" x14ac:dyDescent="0.2">
      <c r="B42" s="280" t="s">
        <v>465</v>
      </c>
      <c r="C42" s="12"/>
      <c r="D42" s="12"/>
      <c r="E42" s="12"/>
      <c r="F42" s="12"/>
      <c r="G42" s="12"/>
      <c r="H42" s="12"/>
      <c r="I42" s="12"/>
      <c r="J42" s="12"/>
    </row>
    <row r="43" spans="2:10" x14ac:dyDescent="0.2">
      <c r="B43" s="67" t="s">
        <v>466</v>
      </c>
      <c r="C43" s="12"/>
      <c r="D43" s="12"/>
      <c r="E43" s="12"/>
      <c r="F43" s="12"/>
      <c r="G43" s="12"/>
      <c r="H43" s="12"/>
      <c r="I43" s="12"/>
      <c r="J43" s="12"/>
    </row>
    <row r="44" spans="2:10" x14ac:dyDescent="0.2">
      <c r="B44" s="12"/>
      <c r="C44" s="12"/>
      <c r="D44" s="12"/>
      <c r="E44" s="12"/>
      <c r="F44" s="12"/>
      <c r="G44" s="12"/>
      <c r="H44" s="12"/>
      <c r="I44" s="12"/>
      <c r="J44" s="12"/>
    </row>
    <row r="45" spans="2:10" x14ac:dyDescent="0.2">
      <c r="B45" s="12"/>
      <c r="C45" s="12"/>
      <c r="D45" s="12"/>
      <c r="E45" s="12"/>
      <c r="F45" s="12"/>
      <c r="G45" s="12"/>
      <c r="H45" s="12"/>
      <c r="I45" s="12"/>
      <c r="J45" s="12"/>
    </row>
    <row r="46" spans="2:10" x14ac:dyDescent="0.2">
      <c r="B46" s="12"/>
      <c r="C46" s="12"/>
      <c r="D46" s="12"/>
      <c r="E46" s="12"/>
      <c r="F46" s="12"/>
      <c r="G46" s="12"/>
      <c r="H46" s="12"/>
      <c r="I46" s="12"/>
      <c r="J46" s="12"/>
    </row>
    <row r="47" spans="2:10" x14ac:dyDescent="0.2">
      <c r="C47" s="12"/>
      <c r="D47" s="12"/>
      <c r="E47" s="12"/>
      <c r="F47" s="12"/>
      <c r="G47" s="12"/>
      <c r="H47" s="12"/>
      <c r="I47" s="12"/>
      <c r="J47" s="12"/>
    </row>
  </sheetData>
  <conditionalFormatting sqref="D11:J16">
    <cfRule type="cellIs" dxfId="13" priority="7" operator="greaterThan">
      <formula>$C$10</formula>
    </cfRule>
    <cfRule type="cellIs" dxfId="12" priority="8" operator="lessThan">
      <formula>$C$10</formula>
    </cfRule>
  </conditionalFormatting>
  <conditionalFormatting sqref="D20:J25">
    <cfRule type="cellIs" dxfId="11" priority="4" operator="greaterThan">
      <formula>$C$19</formula>
    </cfRule>
    <cfRule type="cellIs" dxfId="10" priority="6" operator="lessThan">
      <formula>$C$19</formula>
    </cfRule>
  </conditionalFormatting>
  <conditionalFormatting sqref="D29:J35">
    <cfRule type="cellIs" dxfId="9" priority="1" operator="greaterThan">
      <formula>$C$28</formula>
    </cfRule>
    <cfRule type="cellIs" dxfId="8" priority="3" operator="lessThan">
      <formula>$C$28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A1A6-EF9F-FF48-83A1-4561965C6DF1}">
  <dimension ref="B2:O73"/>
  <sheetViews>
    <sheetView showGridLines="0" topLeftCell="A54" zoomScaleNormal="100" workbookViewId="0">
      <selection activeCell="Q40" sqref="Q40"/>
    </sheetView>
  </sheetViews>
  <sheetFormatPr baseColWidth="10" defaultRowHeight="16" x14ac:dyDescent="0.2"/>
  <cols>
    <col min="2" max="2" width="51.5" customWidth="1"/>
    <col min="3" max="3" width="4.33203125" customWidth="1"/>
    <col min="8" max="11" width="11" bestFit="1" customWidth="1"/>
    <col min="12" max="15" width="11.6640625" bestFit="1" customWidth="1"/>
  </cols>
  <sheetData>
    <row r="2" spans="2:15" x14ac:dyDescent="0.2">
      <c r="B2" s="15" t="str">
        <f>Cover!F5&amp;" Checks and Audit Trails"</f>
        <v>Apple Inc. Checks and Audit Trails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5" spans="2:15" x14ac:dyDescent="0.2">
      <c r="B5" s="13" t="s">
        <v>410</v>
      </c>
      <c r="C5" s="9"/>
      <c r="D5" s="218">
        <v>2022</v>
      </c>
      <c r="E5" s="218">
        <f t="shared" ref="E5:O5" si="0">D5+1</f>
        <v>2023</v>
      </c>
      <c r="F5" s="218">
        <f t="shared" si="0"/>
        <v>2024</v>
      </c>
      <c r="G5" s="218">
        <f t="shared" si="0"/>
        <v>2025</v>
      </c>
      <c r="H5" s="219">
        <f t="shared" si="0"/>
        <v>2026</v>
      </c>
      <c r="I5" s="219">
        <f t="shared" si="0"/>
        <v>2027</v>
      </c>
      <c r="J5" s="219">
        <f t="shared" si="0"/>
        <v>2028</v>
      </c>
      <c r="K5" s="219">
        <f t="shared" si="0"/>
        <v>2029</v>
      </c>
      <c r="L5" s="219">
        <f t="shared" si="0"/>
        <v>2030</v>
      </c>
      <c r="M5" s="219">
        <f t="shared" si="0"/>
        <v>2031</v>
      </c>
      <c r="N5" s="219">
        <f t="shared" si="0"/>
        <v>2032</v>
      </c>
      <c r="O5" s="219">
        <f t="shared" si="0"/>
        <v>2033</v>
      </c>
    </row>
    <row r="6" spans="2:15" x14ac:dyDescent="0.2">
      <c r="B6" s="12" t="s">
        <v>358</v>
      </c>
      <c r="D6" s="2">
        <f>'Balance Sheet'!D20</f>
        <v>352755</v>
      </c>
      <c r="E6" s="2">
        <f>'Balance Sheet'!E20</f>
        <v>352583</v>
      </c>
      <c r="F6" s="2">
        <f>'Balance Sheet'!F20</f>
        <v>364980</v>
      </c>
      <c r="G6" s="2">
        <f>'Balance Sheet'!G20</f>
        <v>359241</v>
      </c>
      <c r="H6" s="2">
        <f>'Balance Sheet'!H20</f>
        <v>376629.99367761752</v>
      </c>
      <c r="I6" s="2">
        <f>'Balance Sheet'!I20</f>
        <v>408412.33705040382</v>
      </c>
      <c r="J6" s="2">
        <f>'Balance Sheet'!J20</f>
        <v>455027.31435403577</v>
      </c>
      <c r="K6" s="2">
        <f>'Balance Sheet'!K20</f>
        <v>519182.93598201952</v>
      </c>
      <c r="L6" s="2">
        <f>'Balance Sheet'!L20</f>
        <v>597845.16935874138</v>
      </c>
      <c r="M6" s="2">
        <f>'Balance Sheet'!M20</f>
        <v>687061.64604904724</v>
      </c>
      <c r="N6" s="2">
        <f>'Balance Sheet'!N20</f>
        <v>791042.28107582545</v>
      </c>
      <c r="O6" s="2">
        <f>'Balance Sheet'!O20</f>
        <v>909525.65229450143</v>
      </c>
    </row>
    <row r="7" spans="2:15" x14ac:dyDescent="0.2">
      <c r="B7" s="12" t="s">
        <v>359</v>
      </c>
      <c r="D7" s="2">
        <f>'Balance Sheet'!D35</f>
        <v>302083</v>
      </c>
      <c r="E7" s="2">
        <f>'Balance Sheet'!E35</f>
        <v>290437</v>
      </c>
      <c r="F7" s="2">
        <f>'Balance Sheet'!F35</f>
        <v>308030</v>
      </c>
      <c r="G7" s="2">
        <f>'Balance Sheet'!G35</f>
        <v>285508</v>
      </c>
      <c r="H7" s="2">
        <f>'Balance Sheet'!H35</f>
        <v>280616.8415446576</v>
      </c>
      <c r="I7" s="2">
        <f>'Balance Sheet'!I35</f>
        <v>276989.08611320204</v>
      </c>
      <c r="J7" s="2">
        <f>'Balance Sheet'!J35</f>
        <v>274319.33086826361</v>
      </c>
      <c r="K7" s="2">
        <f>'Balance Sheet'!K35</f>
        <v>275805.96520806954</v>
      </c>
      <c r="L7" s="2">
        <f>'Balance Sheet'!L35</f>
        <v>277322.5165216194</v>
      </c>
      <c r="M7" s="2">
        <f>'Balance Sheet'!M35</f>
        <v>275591.91027969978</v>
      </c>
      <c r="N7" s="2">
        <f>'Balance Sheet'!N35</f>
        <v>274195.45315755554</v>
      </c>
      <c r="O7" s="2">
        <f>'Balance Sheet'!O35</f>
        <v>272841.59004316188</v>
      </c>
    </row>
    <row r="8" spans="2:15" x14ac:dyDescent="0.2">
      <c r="B8" s="12" t="s">
        <v>360</v>
      </c>
      <c r="D8" s="2">
        <f>'Balance Sheet'!D43</f>
        <v>50672</v>
      </c>
      <c r="E8" s="2">
        <f>'Balance Sheet'!E43</f>
        <v>62146</v>
      </c>
      <c r="F8" s="2">
        <f>'Balance Sheet'!F43</f>
        <v>56950</v>
      </c>
      <c r="G8" s="2">
        <f>'Balance Sheet'!G43</f>
        <v>73733</v>
      </c>
      <c r="H8" s="2">
        <f>'Balance Sheet'!H43</f>
        <v>96013.152132960007</v>
      </c>
      <c r="I8" s="2">
        <f>'Balance Sheet'!I43</f>
        <v>131423.25093720178</v>
      </c>
      <c r="J8" s="2">
        <f>'Balance Sheet'!J43</f>
        <v>180707.98348577216</v>
      </c>
      <c r="K8" s="2">
        <f>'Balance Sheet'!K43</f>
        <v>243376.97077395004</v>
      </c>
      <c r="L8" s="2">
        <f>'Balance Sheet'!L43</f>
        <v>320522.65283712198</v>
      </c>
      <c r="M8" s="2">
        <f>'Balance Sheet'!M43</f>
        <v>411469.7357693474</v>
      </c>
      <c r="N8" s="2">
        <f>'Balance Sheet'!N43</f>
        <v>516846.82791826985</v>
      </c>
      <c r="O8" s="2">
        <f>'Balance Sheet'!O43</f>
        <v>636684.06225133955</v>
      </c>
    </row>
    <row r="9" spans="2:15" x14ac:dyDescent="0.2">
      <c r="B9" s="12" t="s">
        <v>361</v>
      </c>
      <c r="D9" s="2">
        <f>'Balance Sheet'!D35+'Balance Sheet'!D43</f>
        <v>352755</v>
      </c>
      <c r="E9" s="2">
        <f>'Balance Sheet'!E35+'Balance Sheet'!E43</f>
        <v>352583</v>
      </c>
      <c r="F9" s="2">
        <f>'Balance Sheet'!F35+'Balance Sheet'!F43</f>
        <v>364980</v>
      </c>
      <c r="G9" s="2">
        <f>'Balance Sheet'!G35+'Balance Sheet'!G43</f>
        <v>359241</v>
      </c>
      <c r="H9" s="2">
        <f>'Balance Sheet'!H35+'Balance Sheet'!H43</f>
        <v>376629.99367761763</v>
      </c>
      <c r="I9" s="2">
        <f>'Balance Sheet'!I35+'Balance Sheet'!I43</f>
        <v>408412.33705040382</v>
      </c>
      <c r="J9" s="2">
        <f>'Balance Sheet'!J35+'Balance Sheet'!J43</f>
        <v>455027.31435403577</v>
      </c>
      <c r="K9" s="2">
        <f>'Balance Sheet'!K35+'Balance Sheet'!K43</f>
        <v>519182.93598201958</v>
      </c>
      <c r="L9" s="2">
        <f>'Balance Sheet'!L35+'Balance Sheet'!L43</f>
        <v>597845.16935874138</v>
      </c>
      <c r="M9" s="2">
        <f>'Balance Sheet'!M35+'Balance Sheet'!M43</f>
        <v>687061.64604904712</v>
      </c>
      <c r="N9" s="2">
        <f>'Balance Sheet'!N35+'Balance Sheet'!N43</f>
        <v>791042.28107582545</v>
      </c>
      <c r="O9" s="2">
        <f>'Balance Sheet'!O35+'Balance Sheet'!O43</f>
        <v>909525.65229450143</v>
      </c>
    </row>
    <row r="10" spans="2:15" ht="17" thickBot="1" x14ac:dyDescent="0.25">
      <c r="B10" s="70" t="s">
        <v>407</v>
      </c>
      <c r="C10" s="4"/>
      <c r="D10" s="7">
        <f>D6-D9</f>
        <v>0</v>
      </c>
      <c r="E10" s="7">
        <f t="shared" ref="E10:G10" si="1">E6-E9</f>
        <v>0</v>
      </c>
      <c r="F10" s="7">
        <f t="shared" si="1"/>
        <v>0</v>
      </c>
      <c r="G10" s="7">
        <f t="shared" si="1"/>
        <v>0</v>
      </c>
      <c r="H10" s="7">
        <f t="shared" ref="H10" si="2">H6-H9</f>
        <v>0</v>
      </c>
      <c r="I10" s="7">
        <f t="shared" ref="I10" si="3">I6-I9</f>
        <v>0</v>
      </c>
      <c r="J10" s="7">
        <f t="shared" ref="J10" si="4">J6-J9</f>
        <v>0</v>
      </c>
      <c r="K10" s="7">
        <f t="shared" ref="K10" si="5">K6-K9</f>
        <v>0</v>
      </c>
      <c r="L10" s="7">
        <f t="shared" ref="L10" si="6">L6-L9</f>
        <v>0</v>
      </c>
      <c r="M10" s="7">
        <f t="shared" ref="M10" si="7">M6-M9</f>
        <v>0</v>
      </c>
      <c r="N10" s="7">
        <f t="shared" ref="N10" si="8">N6-N9</f>
        <v>0</v>
      </c>
      <c r="O10" s="7">
        <f t="shared" ref="O10" si="9">O6-O9</f>
        <v>0</v>
      </c>
    </row>
    <row r="12" spans="2:15" x14ac:dyDescent="0.2">
      <c r="B12" s="13" t="s">
        <v>409</v>
      </c>
      <c r="C12" s="220"/>
      <c r="D12" s="228">
        <v>2022</v>
      </c>
      <c r="E12" s="228">
        <f t="shared" ref="E12" si="10">D12+1</f>
        <v>2023</v>
      </c>
      <c r="F12" s="228">
        <f t="shared" ref="F12" si="11">E12+1</f>
        <v>2024</v>
      </c>
      <c r="G12" s="228">
        <f t="shared" ref="G12" si="12">F12+1</f>
        <v>2025</v>
      </c>
      <c r="H12" s="229">
        <f t="shared" ref="H12" si="13">G12+1</f>
        <v>2026</v>
      </c>
      <c r="I12" s="229">
        <f t="shared" ref="I12" si="14">H12+1</f>
        <v>2027</v>
      </c>
      <c r="J12" s="229">
        <f t="shared" ref="J12" si="15">I12+1</f>
        <v>2028</v>
      </c>
      <c r="K12" s="229">
        <f t="shared" ref="K12" si="16">J12+1</f>
        <v>2029</v>
      </c>
      <c r="L12" s="229">
        <f t="shared" ref="L12" si="17">K12+1</f>
        <v>2030</v>
      </c>
      <c r="M12" s="229">
        <f t="shared" ref="M12" si="18">L12+1</f>
        <v>2031</v>
      </c>
      <c r="N12" s="229">
        <f t="shared" ref="N12" si="19">M12+1</f>
        <v>2032</v>
      </c>
      <c r="O12" s="229">
        <f t="shared" ref="O12" si="20">N12+1</f>
        <v>2033</v>
      </c>
    </row>
    <row r="13" spans="2:15" x14ac:dyDescent="0.2">
      <c r="B13" s="12" t="s">
        <v>362</v>
      </c>
      <c r="D13">
        <f>'Cash Flow Statements'!D40-1331</f>
        <v>23646</v>
      </c>
      <c r="E13">
        <f>'Cash Flow Statements'!E40-772</f>
        <v>29965</v>
      </c>
      <c r="F13">
        <f>'Cash Flow Statements'!F40</f>
        <v>29943</v>
      </c>
      <c r="G13">
        <f>'Cash Flow Statements'!G40</f>
        <v>35934</v>
      </c>
      <c r="H13" s="2">
        <f>'Cash Flow Statements'!H40</f>
        <v>45173.300061507936</v>
      </c>
      <c r="I13" s="2">
        <f>'Cash Flow Statements'!I40</f>
        <v>68403.498517584667</v>
      </c>
      <c r="J13" s="2">
        <f>'Cash Flow Statements'!J40</f>
        <v>105685.97114253767</v>
      </c>
      <c r="K13" s="2">
        <f>'Cash Flow Statements'!K40</f>
        <v>159917.9839399159</v>
      </c>
      <c r="L13" s="2">
        <f>'Cash Flow Statements'!L40</f>
        <v>228001.01162488345</v>
      </c>
      <c r="M13" s="2">
        <f>'Cash Flow Statements'!M40</f>
        <v>306150.70562386047</v>
      </c>
      <c r="N13" s="2">
        <f>'Cash Flow Statements'!N40</f>
        <v>398241.16939193947</v>
      </c>
      <c r="O13" s="2">
        <f>'Cash Flow Statements'!O40</f>
        <v>504238.72549313121</v>
      </c>
    </row>
    <row r="14" spans="2:15" x14ac:dyDescent="0.2">
      <c r="B14" s="12" t="s">
        <v>363</v>
      </c>
      <c r="D14">
        <f>'Balance Sheet'!D7</f>
        <v>23646</v>
      </c>
      <c r="E14">
        <f>'Balance Sheet'!E7</f>
        <v>29965</v>
      </c>
      <c r="F14">
        <f>'Balance Sheet'!F7</f>
        <v>29943</v>
      </c>
      <c r="G14">
        <f>'Balance Sheet'!G7</f>
        <v>35934</v>
      </c>
      <c r="H14" s="2">
        <f>'Balance Sheet'!H7</f>
        <v>45173.300061507936</v>
      </c>
      <c r="I14" s="2">
        <f>'Balance Sheet'!I7</f>
        <v>68403.498517584667</v>
      </c>
      <c r="J14" s="2">
        <f>'Balance Sheet'!J7</f>
        <v>105685.97114253767</v>
      </c>
      <c r="K14" s="2">
        <f>'Balance Sheet'!K7</f>
        <v>159917.9839399159</v>
      </c>
      <c r="L14" s="2">
        <f>'Balance Sheet'!L7</f>
        <v>228001.01162488345</v>
      </c>
      <c r="M14" s="2">
        <f>'Balance Sheet'!M7</f>
        <v>306150.70562386047</v>
      </c>
      <c r="N14" s="2">
        <f>'Balance Sheet'!N7</f>
        <v>398241.16939193947</v>
      </c>
      <c r="O14" s="2">
        <f>'Balance Sheet'!O7</f>
        <v>504238.72549313121</v>
      </c>
    </row>
    <row r="15" spans="2:15" ht="17" thickBot="1" x14ac:dyDescent="0.25">
      <c r="B15" s="70" t="s">
        <v>364</v>
      </c>
      <c r="C15" s="4"/>
      <c r="D15" s="4">
        <f>D13-D14</f>
        <v>0</v>
      </c>
      <c r="E15" s="4">
        <f t="shared" ref="E15:O15" si="21">E13-E14</f>
        <v>0</v>
      </c>
      <c r="F15" s="4">
        <f t="shared" si="21"/>
        <v>0</v>
      </c>
      <c r="G15" s="4">
        <f t="shared" si="21"/>
        <v>0</v>
      </c>
      <c r="H15" s="7">
        <f t="shared" si="21"/>
        <v>0</v>
      </c>
      <c r="I15" s="7">
        <f t="shared" si="21"/>
        <v>0</v>
      </c>
      <c r="J15" s="7">
        <f t="shared" si="21"/>
        <v>0</v>
      </c>
      <c r="K15" s="7">
        <f t="shared" si="21"/>
        <v>0</v>
      </c>
      <c r="L15" s="7">
        <f t="shared" si="21"/>
        <v>0</v>
      </c>
      <c r="M15" s="7">
        <f t="shared" si="21"/>
        <v>0</v>
      </c>
      <c r="N15" s="7">
        <f t="shared" si="21"/>
        <v>0</v>
      </c>
      <c r="O15" s="7">
        <f t="shared" si="21"/>
        <v>0</v>
      </c>
    </row>
    <row r="16" spans="2:15" x14ac:dyDescent="0.2">
      <c r="B16" s="226" t="s">
        <v>420</v>
      </c>
    </row>
    <row r="17" spans="2:15" x14ac:dyDescent="0.2">
      <c r="B17" s="13" t="s">
        <v>365</v>
      </c>
      <c r="C17" s="220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</row>
    <row r="18" spans="2:15" x14ac:dyDescent="0.2">
      <c r="B18" s="12" t="s">
        <v>366</v>
      </c>
      <c r="D18">
        <f>'Cash Flow Statements'!D19</f>
        <v>122151</v>
      </c>
      <c r="E18">
        <f>'Cash Flow Statements'!E19</f>
        <v>110543</v>
      </c>
      <c r="F18">
        <f>'Cash Flow Statements'!F19</f>
        <v>118254</v>
      </c>
      <c r="G18">
        <f>'Cash Flow Statements'!G19</f>
        <v>111482</v>
      </c>
      <c r="H18" s="2">
        <f>'Cash Flow Statements'!H19</f>
        <v>145149.58181750795</v>
      </c>
      <c r="I18" s="2">
        <f>'Cash Flow Statements'!I19</f>
        <v>154325.85532178174</v>
      </c>
      <c r="J18" s="2">
        <f>'Cash Flow Statements'!J19</f>
        <v>164461.36180961764</v>
      </c>
      <c r="K18" s="2">
        <f>'Cash Flow Statements'!K19</f>
        <v>174196.58425965096</v>
      </c>
      <c r="L18" s="2">
        <f>'Cash Flow Statements'!L19</f>
        <v>184668.28157695377</v>
      </c>
      <c r="M18" s="2">
        <f>'Cash Flow Statements'!M19</f>
        <v>194867.33165457027</v>
      </c>
      <c r="N18" s="2">
        <f>'Cash Flow Statements'!N19</f>
        <v>205754.44082403049</v>
      </c>
      <c r="O18" s="2">
        <f>'Cash Flow Statements'!O19</f>
        <v>216617.20382513752</v>
      </c>
    </row>
    <row r="19" spans="2:15" x14ac:dyDescent="0.2">
      <c r="B19" s="12" t="s">
        <v>367</v>
      </c>
      <c r="D19">
        <f>'Cash Flow Statements'!D27</f>
        <v>-22354</v>
      </c>
      <c r="E19">
        <f>'Cash Flow Statements'!E27</f>
        <v>3705</v>
      </c>
      <c r="F19">
        <f>'Cash Flow Statements'!F27</f>
        <v>2935</v>
      </c>
      <c r="G19">
        <f>'Cash Flow Statements'!G27</f>
        <v>15195</v>
      </c>
      <c r="H19" s="2">
        <f>'Cash Flow Statements'!H27</f>
        <v>-11837.210119999992</v>
      </c>
      <c r="I19" s="2">
        <f>'Cash Flow Statements'!I27</f>
        <v>-12642.660970349998</v>
      </c>
      <c r="J19" s="2">
        <f>'Cash Flow Statements'!J27</f>
        <v>-13471.963284198746</v>
      </c>
      <c r="K19" s="2">
        <f>'Cash Flow Statements'!K27</f>
        <v>-14275.554002462295</v>
      </c>
      <c r="L19" s="2">
        <f>'Cash Flow Statements'!L27</f>
        <v>-15082.510336433068</v>
      </c>
      <c r="M19" s="2">
        <f>'Cash Flow Statements'!M27</f>
        <v>-15846.707584038297</v>
      </c>
      <c r="N19" s="2">
        <f>'Cash Flow Statements'!N27</f>
        <v>-16655.812800523221</v>
      </c>
      <c r="O19" s="2">
        <f>'Cash Flow Statements'!O27</f>
        <v>-17449.72981973704</v>
      </c>
    </row>
    <row r="20" spans="2:15" x14ac:dyDescent="0.2">
      <c r="B20" s="12" t="s">
        <v>368</v>
      </c>
      <c r="D20">
        <f>'Cash Flow Statements'!D37</f>
        <v>-110749</v>
      </c>
      <c r="E20">
        <f>'Cash Flow Statements'!E37</f>
        <v>-108488</v>
      </c>
      <c r="F20">
        <f>'Cash Flow Statements'!F37</f>
        <v>-121983</v>
      </c>
      <c r="G20">
        <f>'Cash Flow Statements'!G37</f>
        <v>-120686</v>
      </c>
      <c r="H20" s="2">
        <f>'Cash Flow Statements'!H37</f>
        <v>-124073.07163600001</v>
      </c>
      <c r="I20" s="2">
        <f>'Cash Flow Statements'!I37</f>
        <v>-118452.99589535501</v>
      </c>
      <c r="J20" s="2">
        <f>'Cash Flow Statements'!J37</f>
        <v>-113706.92590046588</v>
      </c>
      <c r="K20" s="2">
        <f>'Cash Flow Statements'!K37</f>
        <v>-105689.01745981042</v>
      </c>
      <c r="L20" s="2">
        <f>'Cash Flow Statements'!L37</f>
        <v>-101502.74355555314</v>
      </c>
      <c r="M20" s="2">
        <f>'Cash Flow Statements'!M37</f>
        <v>-100870.93007155499</v>
      </c>
      <c r="N20" s="2">
        <f>'Cash Flow Statements'!N37</f>
        <v>-97008.164255428288</v>
      </c>
      <c r="O20" s="2">
        <f>'Cash Flow Statements'!O37</f>
        <v>-93169.917904208764</v>
      </c>
    </row>
    <row r="21" spans="2:15" x14ac:dyDescent="0.2">
      <c r="B21" s="12" t="s">
        <v>369</v>
      </c>
      <c r="D21">
        <f>'Cash Flow Statements'!D39</f>
        <v>-10952</v>
      </c>
      <c r="E21">
        <f>'Cash Flow Statements'!E39</f>
        <v>5760</v>
      </c>
      <c r="F21">
        <f>'Cash Flow Statements'!F39</f>
        <v>-794</v>
      </c>
      <c r="G21">
        <f>'Cash Flow Statements'!G39</f>
        <v>5991</v>
      </c>
      <c r="H21" s="2">
        <f>'Cash Flow Statements'!H39</f>
        <v>9239.3000615079363</v>
      </c>
      <c r="I21" s="2">
        <f>'Cash Flow Statements'!I39</f>
        <v>23230.198456076731</v>
      </c>
      <c r="J21" s="2">
        <f>'Cash Flow Statements'!J39</f>
        <v>37282.472624953007</v>
      </c>
      <c r="K21" s="2">
        <f>'Cash Flow Statements'!K39</f>
        <v>54232.012797378236</v>
      </c>
      <c r="L21" s="2">
        <f>'Cash Flow Statements'!L39</f>
        <v>68083.027684967557</v>
      </c>
      <c r="M21" s="2">
        <f>'Cash Flow Statements'!M39</f>
        <v>78149.693998976989</v>
      </c>
      <c r="N21" s="2">
        <f>'Cash Flow Statements'!N39</f>
        <v>92090.463768078989</v>
      </c>
      <c r="O21" s="2">
        <f>'Cash Flow Statements'!O39</f>
        <v>105997.55610119173</v>
      </c>
    </row>
    <row r="22" spans="2:15" ht="17" thickBot="1" x14ac:dyDescent="0.25">
      <c r="B22" s="70" t="s">
        <v>370</v>
      </c>
      <c r="C22" s="4"/>
      <c r="D22" s="4">
        <f>D18+D19+D20-D21</f>
        <v>0</v>
      </c>
      <c r="E22" s="4">
        <f t="shared" ref="E22:O22" si="22">E18+E19+E20-E21</f>
        <v>0</v>
      </c>
      <c r="F22" s="4">
        <f t="shared" si="22"/>
        <v>0</v>
      </c>
      <c r="G22" s="4">
        <f t="shared" si="22"/>
        <v>0</v>
      </c>
      <c r="H22" s="4">
        <f t="shared" si="22"/>
        <v>0</v>
      </c>
      <c r="I22" s="4">
        <f t="shared" si="22"/>
        <v>0</v>
      </c>
      <c r="J22" s="4">
        <f t="shared" si="22"/>
        <v>0</v>
      </c>
      <c r="K22" s="4">
        <f t="shared" si="22"/>
        <v>0</v>
      </c>
      <c r="L22" s="4">
        <f t="shared" si="22"/>
        <v>0</v>
      </c>
      <c r="M22" s="4">
        <f t="shared" si="22"/>
        <v>0</v>
      </c>
      <c r="N22" s="4">
        <f t="shared" si="22"/>
        <v>0</v>
      </c>
      <c r="O22" s="4">
        <f t="shared" si="22"/>
        <v>0</v>
      </c>
    </row>
    <row r="23" spans="2:15" x14ac:dyDescent="0.2">
      <c r="B23" s="12"/>
    </row>
    <row r="24" spans="2:15" x14ac:dyDescent="0.2">
      <c r="B24" s="13" t="s">
        <v>371</v>
      </c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</row>
    <row r="25" spans="2:15" x14ac:dyDescent="0.2">
      <c r="B25" s="12" t="s">
        <v>372</v>
      </c>
    </row>
    <row r="26" spans="2:15" x14ac:dyDescent="0.2">
      <c r="B26" s="12" t="s">
        <v>373</v>
      </c>
      <c r="D26" s="2">
        <f>'Income Statement'!D8</f>
        <v>394328</v>
      </c>
      <c r="E26" s="2">
        <f>'Income Statement'!E8</f>
        <v>383285</v>
      </c>
      <c r="F26" s="2">
        <f>'Income Statement'!F8</f>
        <v>391035</v>
      </c>
      <c r="G26" s="2">
        <f>'Income Statement'!G8</f>
        <v>416161</v>
      </c>
      <c r="H26" s="2">
        <f>'Income Statement'!H8</f>
        <v>444094.52</v>
      </c>
      <c r="I26" s="2">
        <f>'Income Statement'!I8</f>
        <v>468831.82485000003</v>
      </c>
      <c r="J26" s="2">
        <f>'Income Statement'!J8</f>
        <v>494363.43136125</v>
      </c>
      <c r="K26" s="2">
        <f>'Income Statement'!K8</f>
        <v>519090.03318394499</v>
      </c>
      <c r="L26" s="2">
        <f>'Income Statement'!L8</f>
        <v>543949.11684349261</v>
      </c>
      <c r="M26" s="2">
        <f>'Income Statement'!M8</f>
        <v>567452.31045287731</v>
      </c>
      <c r="N26" s="2">
        <f>'Income Statement'!N8</f>
        <v>592427.11482980987</v>
      </c>
      <c r="O26" s="2">
        <f>'Income Statement'!O8</f>
        <v>616934.4846372226</v>
      </c>
    </row>
    <row r="27" spans="2:15" x14ac:dyDescent="0.2">
      <c r="B27" s="12" t="s">
        <v>374</v>
      </c>
      <c r="D27" s="2">
        <f>'Income Statement'!D10</f>
        <v>223546</v>
      </c>
      <c r="E27" s="2">
        <f>'Income Statement'!E10</f>
        <v>214137</v>
      </c>
      <c r="F27" s="2">
        <f>'Income Statement'!F10</f>
        <v>210352</v>
      </c>
      <c r="G27" s="2">
        <f>'Income Statement'!G10</f>
        <v>220960</v>
      </c>
      <c r="H27" s="2">
        <f>'Income Statement'!H10</f>
        <v>235814.19012000001</v>
      </c>
      <c r="I27" s="2">
        <f>'Income Statement'!I10</f>
        <v>246136.70804625002</v>
      </c>
      <c r="J27" s="2">
        <f>'Income Statement'!J10</f>
        <v>256574.62087648877</v>
      </c>
      <c r="K27" s="2">
        <f>'Income Statement'!K10</f>
        <v>266812.27705654775</v>
      </c>
      <c r="L27" s="2">
        <f>'Income Statement'!L10</f>
        <v>275782.20223965077</v>
      </c>
      <c r="M27" s="2">
        <f>'Income Statement'!M10</f>
        <v>284293.60753689153</v>
      </c>
      <c r="N27" s="2">
        <f>'Income Statement'!N10</f>
        <v>293251.42184075591</v>
      </c>
      <c r="O27" s="2">
        <f>'Income Statement'!O10</f>
        <v>301680.96298760187</v>
      </c>
    </row>
    <row r="28" spans="2:15" x14ac:dyDescent="0.2">
      <c r="B28" s="12" t="s">
        <v>375</v>
      </c>
      <c r="D28" s="2">
        <f>'Income Statement'!D11</f>
        <v>170782</v>
      </c>
      <c r="E28" s="2">
        <f>'Income Statement'!E11</f>
        <v>169148</v>
      </c>
      <c r="F28" s="2">
        <f>'Income Statement'!F11</f>
        <v>180683</v>
      </c>
      <c r="G28" s="2">
        <f>'Income Statement'!G11</f>
        <v>195201</v>
      </c>
      <c r="H28" s="2">
        <f>'Income Statement'!H11</f>
        <v>208280.32988</v>
      </c>
      <c r="I28" s="2">
        <f>'Income Statement'!I11</f>
        <v>222695.11680375002</v>
      </c>
      <c r="J28" s="2">
        <f>'Income Statement'!J11</f>
        <v>237788.81048476123</v>
      </c>
      <c r="K28" s="2">
        <f>'Income Statement'!K11</f>
        <v>252277.75612739724</v>
      </c>
      <c r="L28" s="2">
        <f>'Income Statement'!L11</f>
        <v>268166.91460384184</v>
      </c>
      <c r="M28" s="2">
        <f>'Income Statement'!M11</f>
        <v>283158.70291598578</v>
      </c>
      <c r="N28" s="2">
        <f>'Income Statement'!N11</f>
        <v>299175.69298905396</v>
      </c>
      <c r="O28" s="2">
        <f>'Income Statement'!O11</f>
        <v>315253.52164962073</v>
      </c>
    </row>
    <row r="29" spans="2:15" ht="17" thickBot="1" x14ac:dyDescent="0.25">
      <c r="B29" s="70" t="s">
        <v>376</v>
      </c>
      <c r="C29" s="4"/>
      <c r="D29" s="7">
        <f>D26-D27-D28</f>
        <v>0</v>
      </c>
      <c r="E29" s="7">
        <f t="shared" ref="E29:O29" si="23">E26-E27-E28</f>
        <v>0</v>
      </c>
      <c r="F29" s="7">
        <f t="shared" si="23"/>
        <v>0</v>
      </c>
      <c r="G29" s="7">
        <f t="shared" si="23"/>
        <v>0</v>
      </c>
      <c r="H29" s="7">
        <f t="shared" si="23"/>
        <v>0</v>
      </c>
      <c r="I29" s="7">
        <f t="shared" si="23"/>
        <v>0</v>
      </c>
      <c r="J29" s="7">
        <f t="shared" si="23"/>
        <v>0</v>
      </c>
      <c r="K29" s="7">
        <f t="shared" si="23"/>
        <v>0</v>
      </c>
      <c r="L29" s="7">
        <f t="shared" si="23"/>
        <v>0</v>
      </c>
      <c r="M29" s="7">
        <f t="shared" si="23"/>
        <v>0</v>
      </c>
      <c r="N29" s="7">
        <f t="shared" si="23"/>
        <v>0</v>
      </c>
      <c r="O29" s="7">
        <f t="shared" si="23"/>
        <v>0</v>
      </c>
    </row>
    <row r="30" spans="2:15" x14ac:dyDescent="0.2">
      <c r="B30" s="12"/>
    </row>
    <row r="31" spans="2:15" x14ac:dyDescent="0.2">
      <c r="B31" s="13" t="s">
        <v>377</v>
      </c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</row>
    <row r="32" spans="2:15" x14ac:dyDescent="0.2">
      <c r="B32" s="12" t="s">
        <v>3</v>
      </c>
      <c r="D32" s="2">
        <f>'Income Statement'!D11</f>
        <v>170782</v>
      </c>
      <c r="E32" s="2">
        <f>'Income Statement'!E11</f>
        <v>169148</v>
      </c>
      <c r="F32" s="2">
        <f>'Income Statement'!F11</f>
        <v>180683</v>
      </c>
      <c r="G32" s="2">
        <f>'Income Statement'!G11</f>
        <v>195201</v>
      </c>
      <c r="H32" s="2">
        <f>'Income Statement'!H11</f>
        <v>208280.32988</v>
      </c>
      <c r="I32" s="2">
        <f>'Income Statement'!I11</f>
        <v>222695.11680375002</v>
      </c>
      <c r="J32" s="2">
        <f>'Income Statement'!J11</f>
        <v>237788.81048476123</v>
      </c>
      <c r="K32" s="2">
        <f>'Income Statement'!K11</f>
        <v>252277.75612739724</v>
      </c>
      <c r="L32" s="2">
        <f>'Income Statement'!L11</f>
        <v>268166.91460384184</v>
      </c>
      <c r="M32" s="2">
        <f>'Income Statement'!M11</f>
        <v>283158.70291598578</v>
      </c>
      <c r="N32" s="2">
        <f>'Income Statement'!N11</f>
        <v>299175.69298905396</v>
      </c>
      <c r="O32" s="2">
        <f>'Income Statement'!O11</f>
        <v>315253.52164962073</v>
      </c>
    </row>
    <row r="33" spans="2:15" x14ac:dyDescent="0.2">
      <c r="B33" s="12" t="s">
        <v>378</v>
      </c>
      <c r="D33" s="2">
        <f>'Income Statement'!D16</f>
        <v>51345</v>
      </c>
      <c r="E33" s="2">
        <f>'Income Statement'!E16</f>
        <v>54847</v>
      </c>
      <c r="F33" s="2">
        <f>'Income Statement'!F16</f>
        <v>57467</v>
      </c>
      <c r="G33" s="2">
        <f>'Income Statement'!G16</f>
        <v>62151</v>
      </c>
      <c r="H33" s="2">
        <f>'Income Statement'!H16</f>
        <v>64837.799920000005</v>
      </c>
      <c r="I33" s="2">
        <f>'Income Statement'!I16</f>
        <v>68449.446428100011</v>
      </c>
      <c r="J33" s="2">
        <f>'Income Statement'!J16</f>
        <v>72671.424410103762</v>
      </c>
      <c r="K33" s="2">
        <f>'Income Statement'!K16</f>
        <v>76825.32491122387</v>
      </c>
      <c r="L33" s="2">
        <f>'Income Statement'!L16</f>
        <v>81048.418409680395</v>
      </c>
      <c r="M33" s="2">
        <f>'Income Statement'!M16</f>
        <v>85117.8465679316</v>
      </c>
      <c r="N33" s="2">
        <f>'Income Statement'!N16</f>
        <v>89456.49433930128</v>
      </c>
      <c r="O33" s="2">
        <f>'Income Statement'!O16</f>
        <v>93774.041664857825</v>
      </c>
    </row>
    <row r="34" spans="2:15" x14ac:dyDescent="0.2">
      <c r="B34" s="12" t="s">
        <v>379</v>
      </c>
      <c r="D34" s="2">
        <f>'Income Statement'!D18</f>
        <v>119437</v>
      </c>
      <c r="E34" s="2">
        <f>'Income Statement'!E18</f>
        <v>114301</v>
      </c>
      <c r="F34" s="2">
        <f>'Income Statement'!F18</f>
        <v>123216</v>
      </c>
      <c r="G34" s="2">
        <f>'Income Statement'!G18</f>
        <v>133050</v>
      </c>
      <c r="H34" s="2">
        <f>'Income Statement'!H18</f>
        <v>143442.52996000001</v>
      </c>
      <c r="I34" s="2">
        <f>'Income Statement'!I18</f>
        <v>154245.67037564999</v>
      </c>
      <c r="J34" s="2">
        <f>'Income Statement'!J18</f>
        <v>165117.38607465746</v>
      </c>
      <c r="K34" s="2">
        <f>'Income Statement'!K18</f>
        <v>175452.43121617337</v>
      </c>
      <c r="L34" s="2">
        <f>'Income Statement'!L18</f>
        <v>187118.49619416145</v>
      </c>
      <c r="M34" s="2">
        <f>'Income Statement'!M18</f>
        <v>198040.85634805419</v>
      </c>
      <c r="N34" s="2">
        <f>'Income Statement'!N18</f>
        <v>209719.19864975268</v>
      </c>
      <c r="O34" s="2">
        <f>'Income Statement'!O18</f>
        <v>221479.4799847629</v>
      </c>
    </row>
    <row r="35" spans="2:15" ht="17" thickBot="1" x14ac:dyDescent="0.25">
      <c r="B35" s="70" t="s">
        <v>380</v>
      </c>
      <c r="C35" s="4"/>
      <c r="D35" s="7">
        <f>D32-D33-D34</f>
        <v>0</v>
      </c>
      <c r="E35" s="7">
        <f t="shared" ref="E35:O35" si="24">E32-E33-E34</f>
        <v>0</v>
      </c>
      <c r="F35" s="7">
        <f t="shared" si="24"/>
        <v>0</v>
      </c>
      <c r="G35" s="7">
        <f t="shared" si="24"/>
        <v>0</v>
      </c>
      <c r="H35" s="7">
        <f t="shared" si="24"/>
        <v>0</v>
      </c>
      <c r="I35" s="7">
        <f t="shared" si="24"/>
        <v>0</v>
      </c>
      <c r="J35" s="7">
        <f t="shared" si="24"/>
        <v>0</v>
      </c>
      <c r="K35" s="7">
        <f t="shared" si="24"/>
        <v>0</v>
      </c>
      <c r="L35" s="7">
        <f t="shared" si="24"/>
        <v>0</v>
      </c>
      <c r="M35" s="7">
        <f t="shared" si="24"/>
        <v>0</v>
      </c>
      <c r="N35" s="7">
        <f t="shared" si="24"/>
        <v>0</v>
      </c>
      <c r="O35" s="7">
        <f t="shared" si="24"/>
        <v>0</v>
      </c>
    </row>
    <row r="36" spans="2:15" x14ac:dyDescent="0.2">
      <c r="B36" s="12"/>
    </row>
    <row r="37" spans="2:15" x14ac:dyDescent="0.2">
      <c r="B37" s="13" t="s">
        <v>381</v>
      </c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</row>
    <row r="38" spans="2:15" x14ac:dyDescent="0.2">
      <c r="B38" s="12" t="s">
        <v>201</v>
      </c>
      <c r="D38" s="2">
        <f>'Income Statement'!D18</f>
        <v>119437</v>
      </c>
      <c r="E38" s="2">
        <f>'Income Statement'!E18</f>
        <v>114301</v>
      </c>
      <c r="F38" s="2">
        <f>'Income Statement'!F18</f>
        <v>123216</v>
      </c>
      <c r="G38" s="2">
        <f>'Income Statement'!G18</f>
        <v>133050</v>
      </c>
      <c r="H38" s="2">
        <f>'Income Statement'!H18</f>
        <v>143442.52996000001</v>
      </c>
      <c r="I38" s="2">
        <f>'Income Statement'!I18</f>
        <v>154245.67037564999</v>
      </c>
      <c r="J38" s="2">
        <f>'Income Statement'!J18</f>
        <v>165117.38607465746</v>
      </c>
      <c r="K38" s="2">
        <f>'Income Statement'!K18</f>
        <v>175452.43121617337</v>
      </c>
      <c r="L38" s="2">
        <f>'Income Statement'!L18</f>
        <v>187118.49619416145</v>
      </c>
      <c r="M38" s="2">
        <f>'Income Statement'!M18</f>
        <v>198040.85634805419</v>
      </c>
      <c r="N38" s="2">
        <f>'Income Statement'!N18</f>
        <v>209719.19864975268</v>
      </c>
      <c r="O38" s="2">
        <f>'Income Statement'!O18</f>
        <v>221479.4799847629</v>
      </c>
    </row>
    <row r="39" spans="2:15" x14ac:dyDescent="0.2">
      <c r="B39" s="12" t="s">
        <v>272</v>
      </c>
      <c r="D39" s="2">
        <f>'Income Statement'!D24</f>
        <v>11104</v>
      </c>
      <c r="E39" s="2">
        <f>'Income Statement'!E24</f>
        <v>11519</v>
      </c>
      <c r="F39" s="2">
        <f>'Income Statement'!F24</f>
        <v>11445</v>
      </c>
      <c r="G39" s="2">
        <f>'Income Statement'!G24</f>
        <v>11698</v>
      </c>
      <c r="H39" s="2">
        <f>'Income Statement'!H24</f>
        <v>12434.646560000001</v>
      </c>
      <c r="I39" s="2">
        <f>'Income Statement'!I24</f>
        <v>13127.291095800001</v>
      </c>
      <c r="J39" s="2">
        <f>'Income Statement'!J24</f>
        <v>13842.176078115001</v>
      </c>
      <c r="K39" s="2">
        <f>'Income Statement'!K24</f>
        <v>14534.52092915046</v>
      </c>
      <c r="L39" s="2">
        <f>'Income Statement'!L24</f>
        <v>15230.575271617794</v>
      </c>
      <c r="M39" s="2">
        <f>'Income Statement'!M24</f>
        <v>15888.664692680564</v>
      </c>
      <c r="N39" s="2">
        <f>'Income Statement'!N24</f>
        <v>16587.959215234678</v>
      </c>
      <c r="O39" s="2">
        <f>'Income Statement'!O24</f>
        <v>17274.165569842233</v>
      </c>
    </row>
    <row r="40" spans="2:15" x14ac:dyDescent="0.2">
      <c r="B40" s="12" t="s">
        <v>382</v>
      </c>
      <c r="D40" s="2">
        <f>'Income Statement'!D25</f>
        <v>130541</v>
      </c>
      <c r="E40" s="2">
        <f>'Income Statement'!E25</f>
        <v>125820</v>
      </c>
      <c r="F40" s="2">
        <f>'Income Statement'!F25</f>
        <v>134661</v>
      </c>
      <c r="G40" s="2">
        <f>'Income Statement'!G25</f>
        <v>144748</v>
      </c>
      <c r="H40" s="2">
        <f>'Income Statement'!H25</f>
        <v>155877.17652000001</v>
      </c>
      <c r="I40" s="2">
        <f>'Income Statement'!I25</f>
        <v>167372.96147144999</v>
      </c>
      <c r="J40" s="2">
        <f>'Income Statement'!J25</f>
        <v>178959.56215277247</v>
      </c>
      <c r="K40" s="2">
        <f>'Income Statement'!K25</f>
        <v>189986.95214532383</v>
      </c>
      <c r="L40" s="2">
        <f>'Income Statement'!L25</f>
        <v>202349.07146577924</v>
      </c>
      <c r="M40" s="2">
        <f>'Income Statement'!M25</f>
        <v>213929.52104073475</v>
      </c>
      <c r="N40" s="2">
        <f>'Income Statement'!N25</f>
        <v>226307.15786498736</v>
      </c>
      <c r="O40" s="2">
        <f>'Income Statement'!O25</f>
        <v>238753.64555460514</v>
      </c>
    </row>
    <row r="41" spans="2:15" ht="17" thickBot="1" x14ac:dyDescent="0.25">
      <c r="B41" s="70" t="s">
        <v>383</v>
      </c>
      <c r="C41" s="4"/>
      <c r="D41" s="7">
        <f>D38+D39-D40</f>
        <v>0</v>
      </c>
      <c r="E41" s="7">
        <f t="shared" ref="E41:O41" si="25">E38+E39-E40</f>
        <v>0</v>
      </c>
      <c r="F41" s="7">
        <f t="shared" si="25"/>
        <v>0</v>
      </c>
      <c r="G41" s="7">
        <f t="shared" si="25"/>
        <v>0</v>
      </c>
      <c r="H41" s="7">
        <f t="shared" si="25"/>
        <v>0</v>
      </c>
      <c r="I41" s="7">
        <f t="shared" si="25"/>
        <v>0</v>
      </c>
      <c r="J41" s="7">
        <f t="shared" si="25"/>
        <v>0</v>
      </c>
      <c r="K41" s="7">
        <f t="shared" si="25"/>
        <v>0</v>
      </c>
      <c r="L41" s="7">
        <f t="shared" si="25"/>
        <v>0</v>
      </c>
      <c r="M41" s="7">
        <f t="shared" si="25"/>
        <v>0</v>
      </c>
      <c r="N41" s="7">
        <f t="shared" si="25"/>
        <v>0</v>
      </c>
      <c r="O41" s="7">
        <f t="shared" si="25"/>
        <v>0</v>
      </c>
    </row>
    <row r="42" spans="2:15" x14ac:dyDescent="0.2">
      <c r="B42" s="12"/>
    </row>
    <row r="43" spans="2:15" x14ac:dyDescent="0.2">
      <c r="B43" s="13" t="s">
        <v>384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2:15" x14ac:dyDescent="0.2">
      <c r="B44" s="43" t="s">
        <v>191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2:15" x14ac:dyDescent="0.2">
      <c r="B45" s="12" t="s">
        <v>385</v>
      </c>
      <c r="D45">
        <f>Schedules!D50</f>
        <v>110087</v>
      </c>
      <c r="E45">
        <f>Schedules!E50</f>
        <v>105103</v>
      </c>
      <c r="F45">
        <f>Schedules!F50</f>
        <v>96662</v>
      </c>
      <c r="G45">
        <f>Schedules!G50</f>
        <v>90678</v>
      </c>
      <c r="H45">
        <f>Schedules!H50</f>
        <v>78285</v>
      </c>
      <c r="I45">
        <f>Schedules!I50</f>
        <v>68207</v>
      </c>
      <c r="J45">
        <f>Schedules!J50</f>
        <v>58907</v>
      </c>
      <c r="K45">
        <f>Schedules!K50</f>
        <v>53672</v>
      </c>
      <c r="L45">
        <f>Schedules!L50</f>
        <v>48700</v>
      </c>
      <c r="M45">
        <f>Schedules!M50</f>
        <v>40446</v>
      </c>
      <c r="N45">
        <f>Schedules!N50</f>
        <v>32192</v>
      </c>
      <c r="O45">
        <f>Schedules!O50</f>
        <v>23938</v>
      </c>
    </row>
    <row r="46" spans="2:15" x14ac:dyDescent="0.2">
      <c r="B46" s="12" t="s">
        <v>386</v>
      </c>
      <c r="D46">
        <f>'Balance Sheet'!D28+'Balance Sheet'!D32</f>
        <v>110087</v>
      </c>
      <c r="E46">
        <f>'Balance Sheet'!E28+'Balance Sheet'!E32</f>
        <v>105103</v>
      </c>
      <c r="F46">
        <f>'Balance Sheet'!F28+'Balance Sheet'!F32</f>
        <v>96662</v>
      </c>
      <c r="G46">
        <f>'Balance Sheet'!G28+'Balance Sheet'!G32</f>
        <v>90678</v>
      </c>
      <c r="H46">
        <f>'Balance Sheet'!H28+'Balance Sheet'!H32</f>
        <v>78285</v>
      </c>
      <c r="I46">
        <f>'Balance Sheet'!I28+'Balance Sheet'!I32</f>
        <v>68207</v>
      </c>
      <c r="J46">
        <f>'Balance Sheet'!J28+'Balance Sheet'!J32</f>
        <v>58907</v>
      </c>
      <c r="K46">
        <f>'Balance Sheet'!K28+'Balance Sheet'!K32</f>
        <v>53672</v>
      </c>
      <c r="L46">
        <f>'Balance Sheet'!L28+'Balance Sheet'!L32</f>
        <v>48700</v>
      </c>
      <c r="M46">
        <f>'Balance Sheet'!M28+'Balance Sheet'!M32</f>
        <v>40446</v>
      </c>
      <c r="N46">
        <f>'Balance Sheet'!N28+'Balance Sheet'!N32</f>
        <v>32192</v>
      </c>
      <c r="O46">
        <f>'Balance Sheet'!O28+'Balance Sheet'!O32</f>
        <v>23938</v>
      </c>
    </row>
    <row r="47" spans="2:15" ht="17" thickBot="1" x14ac:dyDescent="0.25">
      <c r="B47" s="70" t="s">
        <v>387</v>
      </c>
      <c r="C47" s="4"/>
      <c r="D47" s="4">
        <f>D45-D46</f>
        <v>0</v>
      </c>
      <c r="E47" s="4">
        <f t="shared" ref="E47:O47" si="26">E45-E46</f>
        <v>0</v>
      </c>
      <c r="F47" s="4">
        <f t="shared" si="26"/>
        <v>0</v>
      </c>
      <c r="G47" s="4">
        <f t="shared" si="26"/>
        <v>0</v>
      </c>
      <c r="H47" s="4">
        <f t="shared" si="26"/>
        <v>0</v>
      </c>
      <c r="I47" s="4">
        <f t="shared" si="26"/>
        <v>0</v>
      </c>
      <c r="J47" s="4">
        <f t="shared" si="26"/>
        <v>0</v>
      </c>
      <c r="K47" s="4">
        <f t="shared" si="26"/>
        <v>0</v>
      </c>
      <c r="L47" s="4">
        <f t="shared" si="26"/>
        <v>0</v>
      </c>
      <c r="M47" s="4">
        <f t="shared" si="26"/>
        <v>0</v>
      </c>
      <c r="N47" s="4">
        <f t="shared" si="26"/>
        <v>0</v>
      </c>
      <c r="O47" s="4">
        <f t="shared" si="26"/>
        <v>0</v>
      </c>
    </row>
    <row r="48" spans="2:15" x14ac:dyDescent="0.2">
      <c r="B48" s="12"/>
    </row>
    <row r="49" spans="2:15" x14ac:dyDescent="0.2">
      <c r="B49" s="43" t="s">
        <v>388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2:15" x14ac:dyDescent="0.2">
      <c r="B50" s="12" t="s">
        <v>389</v>
      </c>
      <c r="D50" s="223">
        <f>Schedules!D32</f>
        <v>42117</v>
      </c>
      <c r="E50" s="223">
        <f>Schedules!E32</f>
        <v>43715</v>
      </c>
      <c r="F50" s="223">
        <f>Schedules!F32</f>
        <v>45680</v>
      </c>
      <c r="G50" s="223">
        <f>Schedules!G32</f>
        <v>49834</v>
      </c>
      <c r="H50" s="223">
        <f>Schedules!H32</f>
        <v>54877.271120000005</v>
      </c>
      <c r="I50" s="223">
        <f>Schedules!I32</f>
        <v>60521.649169350007</v>
      </c>
      <c r="J50" s="223">
        <f>Schedules!J32</f>
        <v>66788.608258649765</v>
      </c>
      <c r="K50" s="223">
        <f>Schedules!K32</f>
        <v>73649.984166077978</v>
      </c>
      <c r="L50" s="223">
        <f>Schedules!L32</f>
        <v>81106.61377964796</v>
      </c>
      <c r="M50" s="223">
        <f>Schedules!M32</f>
        <v>89113.132327945888</v>
      </c>
      <c r="N50" s="223">
        <f>Schedules!N32</f>
        <v>97711.764253489629</v>
      </c>
      <c r="O50" s="223">
        <f>Schedules!O32</f>
        <v>106884.55907901375</v>
      </c>
    </row>
    <row r="51" spans="2:15" x14ac:dyDescent="0.2">
      <c r="B51" s="12" t="s">
        <v>390</v>
      </c>
      <c r="D51" s="2">
        <f>'Balance Sheet'!D17</f>
        <v>42117</v>
      </c>
      <c r="E51" s="2">
        <f>'Balance Sheet'!E17</f>
        <v>43715</v>
      </c>
      <c r="F51" s="2">
        <f>'Balance Sheet'!F17</f>
        <v>45680</v>
      </c>
      <c r="G51" s="2">
        <f>'Balance Sheet'!G17</f>
        <v>49834</v>
      </c>
      <c r="H51" s="2">
        <f>'Balance Sheet'!H17</f>
        <v>54877.271120000005</v>
      </c>
      <c r="I51" s="2">
        <f>'Balance Sheet'!I17</f>
        <v>60521.649169350007</v>
      </c>
      <c r="J51" s="2">
        <f>'Balance Sheet'!J17</f>
        <v>66788.608258649765</v>
      </c>
      <c r="K51" s="2">
        <f>'Balance Sheet'!K17</f>
        <v>73649.984166077978</v>
      </c>
      <c r="L51" s="2">
        <f>'Balance Sheet'!L17</f>
        <v>81106.61377964796</v>
      </c>
      <c r="M51" s="2">
        <f>'Balance Sheet'!M17</f>
        <v>89113.132327945888</v>
      </c>
      <c r="N51" s="2">
        <f>'Balance Sheet'!N17</f>
        <v>97711.764253489629</v>
      </c>
      <c r="O51" s="2">
        <f>'Balance Sheet'!O17</f>
        <v>106884.55907901375</v>
      </c>
    </row>
    <row r="52" spans="2:15" ht="17" thickBot="1" x14ac:dyDescent="0.25">
      <c r="B52" s="70" t="s">
        <v>391</v>
      </c>
      <c r="C52" s="4"/>
      <c r="D52" s="224">
        <f>D50-D51</f>
        <v>0</v>
      </c>
      <c r="E52" s="224">
        <f t="shared" ref="E52:O52" si="27">E50-E51</f>
        <v>0</v>
      </c>
      <c r="F52" s="224">
        <f t="shared" si="27"/>
        <v>0</v>
      </c>
      <c r="G52" s="224">
        <f t="shared" si="27"/>
        <v>0</v>
      </c>
      <c r="H52" s="224">
        <f t="shared" si="27"/>
        <v>0</v>
      </c>
      <c r="I52" s="224">
        <f t="shared" si="27"/>
        <v>0</v>
      </c>
      <c r="J52" s="224">
        <f t="shared" si="27"/>
        <v>0</v>
      </c>
      <c r="K52" s="224">
        <f t="shared" si="27"/>
        <v>0</v>
      </c>
      <c r="L52" s="224">
        <f t="shared" si="27"/>
        <v>0</v>
      </c>
      <c r="M52" s="224">
        <f t="shared" si="27"/>
        <v>0</v>
      </c>
      <c r="N52" s="224">
        <f t="shared" si="27"/>
        <v>0</v>
      </c>
      <c r="O52" s="224">
        <f t="shared" si="27"/>
        <v>0</v>
      </c>
    </row>
    <row r="53" spans="2:15" x14ac:dyDescent="0.2">
      <c r="B53" s="12"/>
    </row>
    <row r="54" spans="2:15" x14ac:dyDescent="0.2">
      <c r="B54" s="13" t="s">
        <v>392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</row>
    <row r="55" spans="2:15" x14ac:dyDescent="0.2">
      <c r="B55" s="43" t="s">
        <v>352</v>
      </c>
      <c r="C55" s="221"/>
      <c r="D55" s="221" t="s">
        <v>393</v>
      </c>
      <c r="E55" s="286" t="s">
        <v>394</v>
      </c>
      <c r="F55" s="286"/>
      <c r="G55" s="286"/>
      <c r="H55" s="286"/>
      <c r="I55" s="286"/>
      <c r="J55" s="286"/>
    </row>
    <row r="56" spans="2:15" x14ac:dyDescent="0.2">
      <c r="B56" s="12" t="s">
        <v>278</v>
      </c>
      <c r="D56" s="6">
        <f>'DCF Valuation'!C18</f>
        <v>9.1892271047127855E-2</v>
      </c>
      <c r="E56" s="285"/>
      <c r="F56" s="285"/>
      <c r="G56" s="285"/>
      <c r="H56" s="285"/>
      <c r="I56" s="285"/>
      <c r="J56" s="285"/>
    </row>
    <row r="57" spans="2:15" x14ac:dyDescent="0.2">
      <c r="B57" s="12" t="s">
        <v>281</v>
      </c>
      <c r="D57" s="6">
        <f>'DCF Valuation'!J9</f>
        <v>0.03</v>
      </c>
      <c r="E57" s="285"/>
      <c r="F57" s="285"/>
      <c r="G57" s="285"/>
      <c r="H57" s="285"/>
      <c r="I57" s="285"/>
      <c r="J57" s="285"/>
    </row>
    <row r="58" spans="2:15" x14ac:dyDescent="0.2">
      <c r="B58" s="12" t="s">
        <v>395</v>
      </c>
      <c r="D58" s="1">
        <f>'DCF Valuation'!C59</f>
        <v>155.50437768782012</v>
      </c>
      <c r="E58" s="285"/>
      <c r="F58" s="285"/>
      <c r="G58" s="285"/>
      <c r="H58" s="285"/>
      <c r="I58" s="285"/>
      <c r="J58" s="285"/>
    </row>
    <row r="59" spans="2:15" x14ac:dyDescent="0.2">
      <c r="B59" s="12" t="s">
        <v>396</v>
      </c>
      <c r="D59">
        <f>Cover!F11</f>
        <v>299.24</v>
      </c>
      <c r="E59" s="285"/>
      <c r="F59" s="285"/>
      <c r="G59" s="285"/>
      <c r="H59" s="285"/>
      <c r="I59" s="285"/>
      <c r="J59" s="285"/>
    </row>
    <row r="60" spans="2:15" x14ac:dyDescent="0.2">
      <c r="B60" s="12" t="s">
        <v>397</v>
      </c>
      <c r="D60" s="6">
        <f>'DCF Valuation'!C61</f>
        <v>-0.48033559120498559</v>
      </c>
      <c r="E60" s="285"/>
      <c r="F60" s="285"/>
      <c r="G60" s="285"/>
      <c r="H60" s="285"/>
      <c r="I60" s="285"/>
      <c r="J60" s="285"/>
    </row>
    <row r="61" spans="2:15" x14ac:dyDescent="0.2">
      <c r="B61" s="12" t="s">
        <v>398</v>
      </c>
      <c r="D61" s="1">
        <f>'DCF Valuation'!C48/1000</f>
        <v>2299.5330693793017</v>
      </c>
      <c r="E61" s="285"/>
      <c r="F61" s="285"/>
      <c r="G61" s="285"/>
      <c r="H61" s="285"/>
      <c r="I61" s="285"/>
      <c r="J61" s="285"/>
    </row>
    <row r="62" spans="2:15" x14ac:dyDescent="0.2">
      <c r="B62" s="12" t="s">
        <v>399</v>
      </c>
      <c r="D62" s="222">
        <f>('DCF Valuation'!C48/1000)/('Income Statement'!G25/1000)</f>
        <v>15.886458323288071</v>
      </c>
      <c r="E62" s="285"/>
      <c r="F62" s="285"/>
      <c r="G62" s="285"/>
      <c r="H62" s="285"/>
      <c r="I62" s="285"/>
      <c r="J62" s="285"/>
    </row>
    <row r="63" spans="2:15" x14ac:dyDescent="0.2">
      <c r="B63" s="12" t="s">
        <v>400</v>
      </c>
      <c r="D63" s="3">
        <f>'DCF Valuation'!C50/'DCF Valuation'!C48</f>
        <v>1</v>
      </c>
      <c r="E63" s="285"/>
      <c r="F63" s="285"/>
      <c r="G63" s="285"/>
      <c r="H63" s="285"/>
      <c r="I63" s="285"/>
      <c r="J63" s="285"/>
    </row>
    <row r="64" spans="2:15" x14ac:dyDescent="0.2">
      <c r="B64" s="12"/>
    </row>
    <row r="65" spans="2:15" x14ac:dyDescent="0.2">
      <c r="B65" s="13" t="s">
        <v>408</v>
      </c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</row>
    <row r="66" spans="2:15" x14ac:dyDescent="0.2">
      <c r="B66" s="12" t="s">
        <v>401</v>
      </c>
      <c r="E66" s="39">
        <f>('Income Statement'!E8-'Income Statement'!D8)/'Income Statement'!D8</f>
        <v>-2.8004605303199367E-2</v>
      </c>
      <c r="F66" s="39">
        <f>('Income Statement'!F8-'Income Statement'!E8)/'Income Statement'!E8</f>
        <v>2.0219940775141214E-2</v>
      </c>
      <c r="G66" s="39">
        <f>('Income Statement'!G8-'Income Statement'!F8)/'Income Statement'!F8</f>
        <v>6.4255117828327393E-2</v>
      </c>
      <c r="H66" s="39">
        <f>('Income Statement'!H8-'Income Statement'!G8)/'Income Statement'!G8</f>
        <v>6.7121907146513046E-2</v>
      </c>
      <c r="I66" s="39">
        <f>('Income Statement'!I8-'Income Statement'!H8)/'Income Statement'!H8</f>
        <v>5.5702792392034052E-2</v>
      </c>
      <c r="J66" s="39">
        <f>('Income Statement'!J8-'Income Statement'!I8)/'Income Statement'!I8</f>
        <v>5.4457921066725049E-2</v>
      </c>
      <c r="K66" s="39">
        <f>('Income Statement'!K8-'Income Statement'!J8)/'Income Statement'!J8</f>
        <v>5.0017052747225427E-2</v>
      </c>
      <c r="L66" s="39">
        <f>('Income Statement'!L8-'Income Statement'!K8)/'Income Statement'!K8</f>
        <v>4.7889734093080796E-2</v>
      </c>
      <c r="M66" s="39">
        <f>('Income Statement'!M8-'Income Statement'!L8)/'Income Statement'!L8</f>
        <v>4.3208441528083487E-2</v>
      </c>
      <c r="N66" s="39">
        <f>('Income Statement'!N8-'Income Statement'!M8)/'Income Statement'!M8</f>
        <v>4.4012164400212682E-2</v>
      </c>
      <c r="O66" s="39">
        <f>('Income Statement'!O8-'Income Statement'!N8)/'Income Statement'!N8</f>
        <v>4.1367738231314941E-2</v>
      </c>
    </row>
    <row r="67" spans="2:15" x14ac:dyDescent="0.2">
      <c r="B67" s="12" t="s">
        <v>314</v>
      </c>
      <c r="D67" s="37">
        <f>'Income Statement'!D11/'Income Statement'!D8</f>
        <v>0.43309630561360085</v>
      </c>
      <c r="E67" s="37">
        <f>'Income Statement'!E11/'Income Statement'!E8</f>
        <v>0.44131129577207562</v>
      </c>
      <c r="F67" s="37">
        <f>'Income Statement'!F11/'Income Statement'!F8</f>
        <v>0.46206349815233932</v>
      </c>
      <c r="G67" s="37">
        <f>'Income Statement'!G11/'Income Statement'!G8</f>
        <v>0.46905164107160452</v>
      </c>
      <c r="H67" s="37">
        <f>'Income Statement'!H11/'Income Statement'!H8</f>
        <v>0.46899999999999997</v>
      </c>
      <c r="I67" s="37">
        <f>'Income Statement'!I11/'Income Statement'!I8</f>
        <v>0.47499999999999998</v>
      </c>
      <c r="J67" s="37">
        <f>'Income Statement'!J11/'Income Statement'!J8</f>
        <v>0.48099999999999998</v>
      </c>
      <c r="K67" s="37">
        <f>'Income Statement'!K11/'Income Statement'!K8</f>
        <v>0.48599999999999993</v>
      </c>
      <c r="L67" s="37">
        <f>'Income Statement'!L11/'Income Statement'!L8</f>
        <v>0.49299999999999999</v>
      </c>
      <c r="M67" s="37">
        <f>'Income Statement'!M11/'Income Statement'!M8</f>
        <v>0.499</v>
      </c>
      <c r="N67" s="37">
        <f>'Income Statement'!N11/'Income Statement'!N8</f>
        <v>0.505</v>
      </c>
      <c r="O67" s="37">
        <f>'Income Statement'!O11/'Income Statement'!O8</f>
        <v>0.51100000000000001</v>
      </c>
    </row>
    <row r="68" spans="2:15" x14ac:dyDescent="0.2">
      <c r="B68" s="12" t="s">
        <v>315</v>
      </c>
      <c r="D68" s="37">
        <f>'Income Statement'!D18/'Income Statement'!D8</f>
        <v>0.30288744395528594</v>
      </c>
      <c r="E68" s="37">
        <f>'Income Statement'!E18/'Income Statement'!E8</f>
        <v>0.29821412265024722</v>
      </c>
      <c r="F68" s="37">
        <f>'Income Statement'!F18/'Income Statement'!F8</f>
        <v>0.31510222870075566</v>
      </c>
      <c r="G68" s="37">
        <f>'Income Statement'!G18/'Income Statement'!G8</f>
        <v>0.31970799762591884</v>
      </c>
      <c r="H68" s="37">
        <f>'Income Statement'!H18/'Income Statement'!H8</f>
        <v>0.32300000000000001</v>
      </c>
      <c r="I68" s="37">
        <f>'Income Statement'!I18/'Income Statement'!I8</f>
        <v>0.32899999999999996</v>
      </c>
      <c r="J68" s="37">
        <f>'Income Statement'!J18/'Income Statement'!J8</f>
        <v>0.33399999999999991</v>
      </c>
      <c r="K68" s="37">
        <f>'Income Statement'!K18/'Income Statement'!K8</f>
        <v>0.33799999999999991</v>
      </c>
      <c r="L68" s="37">
        <f>'Income Statement'!L18/'Income Statement'!L8</f>
        <v>0.34399999999999997</v>
      </c>
      <c r="M68" s="37">
        <f>'Income Statement'!M18/'Income Statement'!M8</f>
        <v>0.34900000000000003</v>
      </c>
      <c r="N68" s="37">
        <f>'Income Statement'!N18/'Income Statement'!N8</f>
        <v>0.35399999999999998</v>
      </c>
      <c r="O68" s="37">
        <f>'Income Statement'!O18/'Income Statement'!O8</f>
        <v>0.35899999999999999</v>
      </c>
    </row>
    <row r="69" spans="2:15" x14ac:dyDescent="0.2">
      <c r="B69" s="12" t="s">
        <v>402</v>
      </c>
      <c r="D69" s="37">
        <f>'Income Statement'!D25/'Income Statement'!D8</f>
        <v>0.3310467428130896</v>
      </c>
      <c r="E69" s="37">
        <f>'Income Statement'!E25/'Income Statement'!E8</f>
        <v>0.32826747720364741</v>
      </c>
      <c r="F69" s="37">
        <f>'Income Statement'!F25/'Income Statement'!F8</f>
        <v>0.34437070850435381</v>
      </c>
      <c r="G69" s="37">
        <f>'Income Statement'!G25/'Income Statement'!G8</f>
        <v>0.34781731108873731</v>
      </c>
      <c r="H69" s="37">
        <f>'Income Statement'!H25/'Income Statement'!H8</f>
        <v>0.35099999999999998</v>
      </c>
      <c r="I69" s="37">
        <f>'Income Statement'!I25/'Income Statement'!I8</f>
        <v>0.35699999999999993</v>
      </c>
      <c r="J69" s="37">
        <f>'Income Statement'!J25/'Income Statement'!J8</f>
        <v>0.36199999999999993</v>
      </c>
      <c r="K69" s="37">
        <f>'Income Statement'!K25/'Income Statement'!K8</f>
        <v>0.36599999999999994</v>
      </c>
      <c r="L69" s="37">
        <f>'Income Statement'!L25/'Income Statement'!L8</f>
        <v>0.372</v>
      </c>
      <c r="M69" s="37">
        <f>'Income Statement'!M25/'Income Statement'!M8</f>
        <v>0.377</v>
      </c>
      <c r="N69" s="37">
        <f>'Income Statement'!N25/'Income Statement'!N8</f>
        <v>0.38199999999999995</v>
      </c>
      <c r="O69" s="37">
        <f>'Income Statement'!O25/'Income Statement'!O8</f>
        <v>0.38700000000000001</v>
      </c>
    </row>
    <row r="70" spans="2:15" x14ac:dyDescent="0.2">
      <c r="B70" s="12" t="s">
        <v>403</v>
      </c>
      <c r="D70" s="39">
        <f>'Income Statement'!D22/'Income Statement'!D8</f>
        <v>0.25309640705199732</v>
      </c>
      <c r="E70" s="39">
        <f>'Income Statement'!E22/'Income Statement'!E8</f>
        <v>0.25306234264320282</v>
      </c>
      <c r="F70" s="39">
        <f>'Income Statement'!F22/'Income Statement'!F8</f>
        <v>0.23971255769943867</v>
      </c>
      <c r="G70" s="39">
        <f>'Income Statement'!G22/'Income Statement'!G8</f>
        <v>0.26915064121818238</v>
      </c>
      <c r="H70" s="39">
        <f>'Income Statement'!H22/'Income Statement'!H8</f>
        <v>0.270648</v>
      </c>
      <c r="I70" s="39">
        <f>'Income Statement'!I22/'Income Statement'!I8</f>
        <v>0.27568799999999999</v>
      </c>
      <c r="J70" s="39">
        <f>'Income Statement'!J22/'Income Statement'!J8</f>
        <v>0.27988799999999991</v>
      </c>
      <c r="K70" s="39">
        <f>'Income Statement'!K22/'Income Statement'!K8</f>
        <v>0.28324799999999994</v>
      </c>
      <c r="L70" s="39">
        <f>'Income Statement'!L22/'Income Statement'!L8</f>
        <v>0.28828799999999993</v>
      </c>
      <c r="M70" s="39">
        <f>'Income Statement'!M22/'Income Statement'!M8</f>
        <v>0.29248800000000003</v>
      </c>
      <c r="N70" s="39">
        <f>'Income Statement'!N22/'Income Statement'!N8</f>
        <v>0.29668799999999995</v>
      </c>
      <c r="O70" s="39">
        <f>'Income Statement'!O22/'Income Statement'!O8</f>
        <v>0.30088799999999993</v>
      </c>
    </row>
    <row r="71" spans="2:15" x14ac:dyDescent="0.2">
      <c r="B71" s="12" t="s">
        <v>404</v>
      </c>
      <c r="D71" s="39">
        <f>Schedules!D30/'Income Statement'!D8</f>
        <v>2.7155058732831552E-2</v>
      </c>
      <c r="E71" s="39">
        <f>Schedules!E30/'Income Statement'!E8</f>
        <v>2.859230076835775E-2</v>
      </c>
      <c r="F71" s="39">
        <f>Schedules!F30/'Income Statement'!F8</f>
        <v>2.415896275269477E-2</v>
      </c>
      <c r="G71" s="39">
        <f>Schedules!G30/'Income Statement'!G8</f>
        <v>3.0553079216937677E-2</v>
      </c>
      <c r="H71" s="39">
        <f>Schedules!H30/'Income Statement'!H8</f>
        <v>3.1E-2</v>
      </c>
      <c r="I71" s="39">
        <f>Schedules!I30/'Income Statement'!I8</f>
        <v>3.1E-2</v>
      </c>
      <c r="J71" s="39">
        <f>Schedules!J30/'Income Statement'!J8</f>
        <v>3.1E-2</v>
      </c>
      <c r="K71" s="39">
        <f>Schedules!K30/'Income Statement'!K8</f>
        <v>3.1E-2</v>
      </c>
      <c r="L71" s="39">
        <f>Schedules!L30/'Income Statement'!L8</f>
        <v>3.1E-2</v>
      </c>
      <c r="M71" s="39">
        <f>Schedules!M30/'Income Statement'!M8</f>
        <v>3.1E-2</v>
      </c>
      <c r="N71" s="39">
        <f>Schedules!N30/'Income Statement'!N8</f>
        <v>3.1E-2</v>
      </c>
      <c r="O71" s="39">
        <f>Schedules!O30/'Income Statement'!O8</f>
        <v>3.1E-2</v>
      </c>
    </row>
    <row r="72" spans="2:15" x14ac:dyDescent="0.2">
      <c r="B72" s="12" t="s">
        <v>405</v>
      </c>
      <c r="D72" s="73">
        <f>'DCF Valuation'!D28</f>
        <v>100533</v>
      </c>
      <c r="E72" s="73">
        <f>'DCF Valuation'!E28</f>
        <v>224834</v>
      </c>
      <c r="F72" s="73">
        <f>'DCF Valuation'!F28</f>
        <v>91566</v>
      </c>
      <c r="G72" s="73">
        <f>'DCF Valuation'!G28</f>
        <v>112847.61904854795</v>
      </c>
      <c r="H72" s="73">
        <f>'DCF Valuation'!H28</f>
        <v>119841.98770614492</v>
      </c>
      <c r="I72" s="73">
        <f>'DCF Valuation'!I28</f>
        <v>128802.92614775914</v>
      </c>
      <c r="J72" s="73">
        <f>'DCF Valuation'!J28</f>
        <v>137880.87606562884</v>
      </c>
      <c r="K72" s="73">
        <f>'DCF Valuation'!K28</f>
        <v>146110.43247182862</v>
      </c>
      <c r="L72" s="73">
        <f>'DCF Valuation'!L28</f>
        <v>155835.38941946373</v>
      </c>
      <c r="M72" s="73">
        <f>'DCF Valuation'!M28</f>
        <v>164931.19948309276</v>
      </c>
      <c r="N72" s="73">
        <f>'DCF Valuation'!N28</f>
        <v>174560.68555722359</v>
      </c>
      <c r="O72" s="73">
        <f>'DCF Valuation'!O28</f>
        <v>184368.93671254531</v>
      </c>
    </row>
    <row r="73" spans="2:15" x14ac:dyDescent="0.2">
      <c r="B73" s="12" t="s">
        <v>406</v>
      </c>
      <c r="D73" s="3">
        <f>'DCF Valuation'!D29</f>
        <v>0.25494765778742567</v>
      </c>
      <c r="E73" s="3">
        <f>'DCF Valuation'!E29</f>
        <v>0.58659744054685159</v>
      </c>
      <c r="F73" s="3">
        <f>'DCF Valuation'!F29</f>
        <v>0.2341631823238329</v>
      </c>
      <c r="G73" s="3">
        <f>'DCF Valuation'!G29</f>
        <v>0.27116336958183956</v>
      </c>
      <c r="H73" s="3">
        <f>'DCF Valuation'!H29</f>
        <v>0.26985693880245337</v>
      </c>
      <c r="I73" s="3">
        <f>'DCF Valuation'!I29</f>
        <v>0.27473161871843677</v>
      </c>
      <c r="J73" s="3">
        <f>'DCF Valuation'!J29</f>
        <v>0.2789058965910326</v>
      </c>
      <c r="K73" s="3">
        <f>'DCF Valuation'!K29</f>
        <v>0.2814741627297877</v>
      </c>
      <c r="L73" s="3">
        <f>'DCF Valuation'!L29</f>
        <v>0.286488909704952</v>
      </c>
      <c r="M73" s="3">
        <f>'DCF Valuation'!M29</f>
        <v>0.29065208907416912</v>
      </c>
      <c r="N73" s="3">
        <f>'DCF Valuation'!N29</f>
        <v>0.29465343700105745</v>
      </c>
      <c r="O73" s="3">
        <f>'DCF Valuation'!O29</f>
        <v>0.29884686511074221</v>
      </c>
    </row>
  </sheetData>
  <mergeCells count="9">
    <mergeCell ref="E63:J63"/>
    <mergeCell ref="E55:J55"/>
    <mergeCell ref="E56:J56"/>
    <mergeCell ref="E57:J57"/>
    <mergeCell ref="E58:J58"/>
    <mergeCell ref="E59:J59"/>
    <mergeCell ref="E60:J60"/>
    <mergeCell ref="E61:J61"/>
    <mergeCell ref="E62:J62"/>
  </mergeCells>
  <conditionalFormatting sqref="D10:O10">
    <cfRule type="cellIs" dxfId="7" priority="8" operator="lessThan">
      <formula>1</formula>
    </cfRule>
  </conditionalFormatting>
  <conditionalFormatting sqref="D15:O15">
    <cfRule type="cellIs" dxfId="6" priority="7" operator="equal">
      <formula>0</formula>
    </cfRule>
  </conditionalFormatting>
  <conditionalFormatting sqref="D22:O22">
    <cfRule type="cellIs" dxfId="5" priority="6" operator="equal">
      <formula>0</formula>
    </cfRule>
  </conditionalFormatting>
  <conditionalFormatting sqref="D29:O29">
    <cfRule type="cellIs" dxfId="4" priority="5" operator="equal">
      <formula>0</formula>
    </cfRule>
  </conditionalFormatting>
  <conditionalFormatting sqref="D35:O35">
    <cfRule type="cellIs" dxfId="3" priority="1" operator="equal">
      <formula>0</formula>
    </cfRule>
  </conditionalFormatting>
  <conditionalFormatting sqref="D41:O41">
    <cfRule type="cellIs" dxfId="2" priority="2" operator="equal">
      <formula>0</formula>
    </cfRule>
  </conditionalFormatting>
  <conditionalFormatting sqref="D47:O47">
    <cfRule type="cellIs" dxfId="1" priority="3" operator="equal">
      <formula>0</formula>
    </cfRule>
  </conditionalFormatting>
  <conditionalFormatting sqref="D52:O52">
    <cfRule type="cellIs" dxfId="0" priority="4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Cover</vt:lpstr>
      <vt:lpstr>Assumptions</vt:lpstr>
      <vt:lpstr>Revenue Build</vt:lpstr>
      <vt:lpstr>Income Statement</vt:lpstr>
      <vt:lpstr>Balance Sheet</vt:lpstr>
      <vt:lpstr>Cash Flow Statements</vt:lpstr>
      <vt:lpstr>Schedules</vt:lpstr>
      <vt:lpstr>DCF Valuation</vt:lpstr>
      <vt:lpstr>Trading Comps</vt:lpstr>
      <vt:lpstr>Precedent Transactions</vt:lpstr>
      <vt:lpstr>Sensitivity Analysis</vt:lpstr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ZIREGBE</dc:creator>
  <cp:lastModifiedBy>Jessica ZIREGBE</cp:lastModifiedBy>
  <dcterms:created xsi:type="dcterms:W3CDTF">2026-04-27T09:53:02Z</dcterms:created>
  <dcterms:modified xsi:type="dcterms:W3CDTF">2026-06-18T15:29:39Z</dcterms:modified>
</cp:coreProperties>
</file>